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53222"/>
  <mc:AlternateContent xmlns:mc="http://schemas.openxmlformats.org/markup-compatibility/2006">
    <mc:Choice Requires="x15">
      <x15ac:absPath xmlns:x15ac="http://schemas.microsoft.com/office/spreadsheetml/2010/11/ac" url="C:\Users\lenovo\OneDrive\Desktop\DA\DDD\project 1\Completed projects\"/>
    </mc:Choice>
  </mc:AlternateContent>
  <bookViews>
    <workbookView xWindow="0" yWindow="0" windowWidth="24000" windowHeight="9615"/>
  </bookViews>
  <sheets>
    <sheet name="Dashboard" sheetId="16" r:id="rId1"/>
    <sheet name="Statistics_summary_table" sheetId="17" r:id="rId2"/>
    <sheet name="T-TEST" sheetId="19" r:id="rId3"/>
    <sheet name="Pivot_table &amp; Chart" sheetId="4" r:id="rId4"/>
    <sheet name="Clean_dataset" sheetId="3" r:id="rId5"/>
    <sheet name="retail_sales_dataset" sheetId="1" r:id="rId6"/>
  </sheets>
  <externalReferences>
    <externalReference r:id="rId7"/>
  </externalReferences>
  <definedNames>
    <definedName name="_xlnm._FilterDatabase" localSheetId="5" hidden="1">retail_sales_dataset!$A$1:$I$1001</definedName>
    <definedName name="NativeTimeline_date">#N/A</definedName>
    <definedName name="Slicer_age_group">#N/A</definedName>
    <definedName name="Slicer_gender">#N/A</definedName>
    <definedName name="Slicer_product_category">#N/A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D3" i="19" l="1"/>
  <c r="O6" i="16" l="1"/>
  <c r="L6" i="16"/>
  <c r="I6" i="16"/>
  <c r="F6" i="16"/>
  <c r="D14" i="17"/>
  <c r="D13" i="17"/>
  <c r="D12" i="17"/>
  <c r="D11" i="17"/>
  <c r="D10" i="17"/>
  <c r="D9" i="17"/>
  <c r="D8" i="17"/>
  <c r="D7" i="17"/>
  <c r="D6" i="17"/>
  <c r="D5" i="17"/>
  <c r="D4" i="17"/>
  <c r="D3" i="17"/>
  <c r="C6" i="16"/>
  <c r="M1001" i="3" l="1"/>
  <c r="L1001" i="3"/>
  <c r="K1001" i="3"/>
  <c r="J1001" i="3"/>
  <c r="I1001" i="3"/>
  <c r="M1000" i="3"/>
  <c r="L1000" i="3"/>
  <c r="K1000" i="3"/>
  <c r="J1000" i="3"/>
  <c r="I1000" i="3"/>
  <c r="M999" i="3"/>
  <c r="L999" i="3"/>
  <c r="K999" i="3"/>
  <c r="J999" i="3"/>
  <c r="I999" i="3"/>
  <c r="M998" i="3"/>
  <c r="L998" i="3"/>
  <c r="K998" i="3"/>
  <c r="J998" i="3"/>
  <c r="I998" i="3"/>
  <c r="M997" i="3"/>
  <c r="L997" i="3"/>
  <c r="K997" i="3"/>
  <c r="J997" i="3"/>
  <c r="I997" i="3"/>
  <c r="M996" i="3"/>
  <c r="L996" i="3"/>
  <c r="K996" i="3"/>
  <c r="J996" i="3"/>
  <c r="I996" i="3"/>
  <c r="M995" i="3"/>
  <c r="L995" i="3"/>
  <c r="K995" i="3"/>
  <c r="J995" i="3"/>
  <c r="I995" i="3"/>
  <c r="M994" i="3"/>
  <c r="L994" i="3"/>
  <c r="K994" i="3"/>
  <c r="J994" i="3"/>
  <c r="I994" i="3"/>
  <c r="M993" i="3"/>
  <c r="L993" i="3"/>
  <c r="K993" i="3"/>
  <c r="J993" i="3"/>
  <c r="I993" i="3"/>
  <c r="M992" i="3"/>
  <c r="L992" i="3"/>
  <c r="K992" i="3"/>
  <c r="J992" i="3"/>
  <c r="I992" i="3"/>
  <c r="M991" i="3"/>
  <c r="L991" i="3"/>
  <c r="K991" i="3"/>
  <c r="J991" i="3"/>
  <c r="I991" i="3"/>
  <c r="M990" i="3"/>
  <c r="L990" i="3"/>
  <c r="K990" i="3"/>
  <c r="J990" i="3"/>
  <c r="I990" i="3"/>
  <c r="M989" i="3"/>
  <c r="L989" i="3"/>
  <c r="K989" i="3"/>
  <c r="J989" i="3"/>
  <c r="I989" i="3"/>
  <c r="M988" i="3"/>
  <c r="L988" i="3"/>
  <c r="K988" i="3"/>
  <c r="J988" i="3"/>
  <c r="I988" i="3"/>
  <c r="M987" i="3"/>
  <c r="L987" i="3"/>
  <c r="K987" i="3"/>
  <c r="J987" i="3"/>
  <c r="I987" i="3"/>
  <c r="M986" i="3"/>
  <c r="L986" i="3"/>
  <c r="K986" i="3"/>
  <c r="J986" i="3"/>
  <c r="I986" i="3"/>
  <c r="M985" i="3"/>
  <c r="L985" i="3"/>
  <c r="K985" i="3"/>
  <c r="J985" i="3"/>
  <c r="I985" i="3"/>
  <c r="M984" i="3"/>
  <c r="L984" i="3"/>
  <c r="K984" i="3"/>
  <c r="J984" i="3"/>
  <c r="I984" i="3"/>
  <c r="M983" i="3"/>
  <c r="L983" i="3"/>
  <c r="K983" i="3"/>
  <c r="J983" i="3"/>
  <c r="I983" i="3"/>
  <c r="M982" i="3"/>
  <c r="L982" i="3"/>
  <c r="K982" i="3"/>
  <c r="J982" i="3"/>
  <c r="I982" i="3"/>
  <c r="M981" i="3"/>
  <c r="L981" i="3"/>
  <c r="K981" i="3"/>
  <c r="J981" i="3"/>
  <c r="I981" i="3"/>
  <c r="M980" i="3"/>
  <c r="L980" i="3"/>
  <c r="K980" i="3"/>
  <c r="J980" i="3"/>
  <c r="I980" i="3"/>
  <c r="M979" i="3"/>
  <c r="L979" i="3"/>
  <c r="K979" i="3"/>
  <c r="J979" i="3"/>
  <c r="I979" i="3"/>
  <c r="M978" i="3"/>
  <c r="L978" i="3"/>
  <c r="K978" i="3"/>
  <c r="J978" i="3"/>
  <c r="I978" i="3"/>
  <c r="M977" i="3"/>
  <c r="L977" i="3"/>
  <c r="K977" i="3"/>
  <c r="J977" i="3"/>
  <c r="I977" i="3"/>
  <c r="M976" i="3"/>
  <c r="L976" i="3"/>
  <c r="K976" i="3"/>
  <c r="J976" i="3"/>
  <c r="I976" i="3"/>
  <c r="M975" i="3"/>
  <c r="L975" i="3"/>
  <c r="K975" i="3"/>
  <c r="J975" i="3"/>
  <c r="I975" i="3"/>
  <c r="M974" i="3"/>
  <c r="L974" i="3"/>
  <c r="K974" i="3"/>
  <c r="J974" i="3"/>
  <c r="I974" i="3"/>
  <c r="M973" i="3"/>
  <c r="L973" i="3"/>
  <c r="K973" i="3"/>
  <c r="J973" i="3"/>
  <c r="I973" i="3"/>
  <c r="M972" i="3"/>
  <c r="L972" i="3"/>
  <c r="K972" i="3"/>
  <c r="J972" i="3"/>
  <c r="I972" i="3"/>
  <c r="M971" i="3"/>
  <c r="L971" i="3"/>
  <c r="K971" i="3"/>
  <c r="J971" i="3"/>
  <c r="I971" i="3"/>
  <c r="M970" i="3"/>
  <c r="L970" i="3"/>
  <c r="K970" i="3"/>
  <c r="J970" i="3"/>
  <c r="I970" i="3"/>
  <c r="M969" i="3"/>
  <c r="L969" i="3"/>
  <c r="K969" i="3"/>
  <c r="J969" i="3"/>
  <c r="I969" i="3"/>
  <c r="M968" i="3"/>
  <c r="L968" i="3"/>
  <c r="K968" i="3"/>
  <c r="J968" i="3"/>
  <c r="I968" i="3"/>
  <c r="M967" i="3"/>
  <c r="L967" i="3"/>
  <c r="K967" i="3"/>
  <c r="J967" i="3"/>
  <c r="I967" i="3"/>
  <c r="M966" i="3"/>
  <c r="L966" i="3"/>
  <c r="K966" i="3"/>
  <c r="J966" i="3"/>
  <c r="I966" i="3"/>
  <c r="M965" i="3"/>
  <c r="L965" i="3"/>
  <c r="K965" i="3"/>
  <c r="J965" i="3"/>
  <c r="I965" i="3"/>
  <c r="M964" i="3"/>
  <c r="L964" i="3"/>
  <c r="K964" i="3"/>
  <c r="J964" i="3"/>
  <c r="I964" i="3"/>
  <c r="M963" i="3"/>
  <c r="L963" i="3"/>
  <c r="K963" i="3"/>
  <c r="J963" i="3"/>
  <c r="I963" i="3"/>
  <c r="M962" i="3"/>
  <c r="L962" i="3"/>
  <c r="K962" i="3"/>
  <c r="J962" i="3"/>
  <c r="I962" i="3"/>
  <c r="M961" i="3"/>
  <c r="L961" i="3"/>
  <c r="K961" i="3"/>
  <c r="J961" i="3"/>
  <c r="I961" i="3"/>
  <c r="M960" i="3"/>
  <c r="L960" i="3"/>
  <c r="K960" i="3"/>
  <c r="J960" i="3"/>
  <c r="I960" i="3"/>
  <c r="M959" i="3"/>
  <c r="L959" i="3"/>
  <c r="K959" i="3"/>
  <c r="J959" i="3"/>
  <c r="I959" i="3"/>
  <c r="M958" i="3"/>
  <c r="L958" i="3"/>
  <c r="K958" i="3"/>
  <c r="J958" i="3"/>
  <c r="I958" i="3"/>
  <c r="M957" i="3"/>
  <c r="L957" i="3"/>
  <c r="K957" i="3"/>
  <c r="J957" i="3"/>
  <c r="I957" i="3"/>
  <c r="M956" i="3"/>
  <c r="L956" i="3"/>
  <c r="K956" i="3"/>
  <c r="J956" i="3"/>
  <c r="I956" i="3"/>
  <c r="M955" i="3"/>
  <c r="L955" i="3"/>
  <c r="K955" i="3"/>
  <c r="J955" i="3"/>
  <c r="I955" i="3"/>
  <c r="M954" i="3"/>
  <c r="L954" i="3"/>
  <c r="K954" i="3"/>
  <c r="J954" i="3"/>
  <c r="I954" i="3"/>
  <c r="M953" i="3"/>
  <c r="L953" i="3"/>
  <c r="K953" i="3"/>
  <c r="J953" i="3"/>
  <c r="I953" i="3"/>
  <c r="M952" i="3"/>
  <c r="L952" i="3"/>
  <c r="K952" i="3"/>
  <c r="J952" i="3"/>
  <c r="I952" i="3"/>
  <c r="M951" i="3"/>
  <c r="L951" i="3"/>
  <c r="K951" i="3"/>
  <c r="J951" i="3"/>
  <c r="I951" i="3"/>
  <c r="M950" i="3"/>
  <c r="L950" i="3"/>
  <c r="K950" i="3"/>
  <c r="J950" i="3"/>
  <c r="I950" i="3"/>
  <c r="M949" i="3"/>
  <c r="L949" i="3"/>
  <c r="K949" i="3"/>
  <c r="J949" i="3"/>
  <c r="I949" i="3"/>
  <c r="M948" i="3"/>
  <c r="L948" i="3"/>
  <c r="K948" i="3"/>
  <c r="J948" i="3"/>
  <c r="I948" i="3"/>
  <c r="M947" i="3"/>
  <c r="L947" i="3"/>
  <c r="K947" i="3"/>
  <c r="J947" i="3"/>
  <c r="I947" i="3"/>
  <c r="M946" i="3"/>
  <c r="L946" i="3"/>
  <c r="K946" i="3"/>
  <c r="J946" i="3"/>
  <c r="I946" i="3"/>
  <c r="M945" i="3"/>
  <c r="L945" i="3"/>
  <c r="K945" i="3"/>
  <c r="J945" i="3"/>
  <c r="I945" i="3"/>
  <c r="M944" i="3"/>
  <c r="L944" i="3"/>
  <c r="K944" i="3"/>
  <c r="J944" i="3"/>
  <c r="I944" i="3"/>
  <c r="M943" i="3"/>
  <c r="L943" i="3"/>
  <c r="K943" i="3"/>
  <c r="J943" i="3"/>
  <c r="I943" i="3"/>
  <c r="M942" i="3"/>
  <c r="L942" i="3"/>
  <c r="K942" i="3"/>
  <c r="J942" i="3"/>
  <c r="I942" i="3"/>
  <c r="M941" i="3"/>
  <c r="L941" i="3"/>
  <c r="K941" i="3"/>
  <c r="J941" i="3"/>
  <c r="I941" i="3"/>
  <c r="M940" i="3"/>
  <c r="L940" i="3"/>
  <c r="K940" i="3"/>
  <c r="J940" i="3"/>
  <c r="I940" i="3"/>
  <c r="M939" i="3"/>
  <c r="L939" i="3"/>
  <c r="K939" i="3"/>
  <c r="J939" i="3"/>
  <c r="I939" i="3"/>
  <c r="M938" i="3"/>
  <c r="L938" i="3"/>
  <c r="K938" i="3"/>
  <c r="J938" i="3"/>
  <c r="I938" i="3"/>
  <c r="M937" i="3"/>
  <c r="L937" i="3"/>
  <c r="K937" i="3"/>
  <c r="J937" i="3"/>
  <c r="I937" i="3"/>
  <c r="M936" i="3"/>
  <c r="L936" i="3"/>
  <c r="K936" i="3"/>
  <c r="J936" i="3"/>
  <c r="I936" i="3"/>
  <c r="M935" i="3"/>
  <c r="L935" i="3"/>
  <c r="K935" i="3"/>
  <c r="J935" i="3"/>
  <c r="I935" i="3"/>
  <c r="M934" i="3"/>
  <c r="L934" i="3"/>
  <c r="K934" i="3"/>
  <c r="J934" i="3"/>
  <c r="I934" i="3"/>
  <c r="M933" i="3"/>
  <c r="L933" i="3"/>
  <c r="K933" i="3"/>
  <c r="J933" i="3"/>
  <c r="I933" i="3"/>
  <c r="M932" i="3"/>
  <c r="L932" i="3"/>
  <c r="K932" i="3"/>
  <c r="J932" i="3"/>
  <c r="I932" i="3"/>
  <c r="M931" i="3"/>
  <c r="L931" i="3"/>
  <c r="K931" i="3"/>
  <c r="J931" i="3"/>
  <c r="I931" i="3"/>
  <c r="M930" i="3"/>
  <c r="L930" i="3"/>
  <c r="K930" i="3"/>
  <c r="J930" i="3"/>
  <c r="I930" i="3"/>
  <c r="M929" i="3"/>
  <c r="L929" i="3"/>
  <c r="K929" i="3"/>
  <c r="J929" i="3"/>
  <c r="I929" i="3"/>
  <c r="M928" i="3"/>
  <c r="L928" i="3"/>
  <c r="K928" i="3"/>
  <c r="J928" i="3"/>
  <c r="I928" i="3"/>
  <c r="M927" i="3"/>
  <c r="L927" i="3"/>
  <c r="K927" i="3"/>
  <c r="J927" i="3"/>
  <c r="I927" i="3"/>
  <c r="M926" i="3"/>
  <c r="L926" i="3"/>
  <c r="K926" i="3"/>
  <c r="J926" i="3"/>
  <c r="I926" i="3"/>
  <c r="M925" i="3"/>
  <c r="L925" i="3"/>
  <c r="K925" i="3"/>
  <c r="J925" i="3"/>
  <c r="I925" i="3"/>
  <c r="M924" i="3"/>
  <c r="L924" i="3"/>
  <c r="K924" i="3"/>
  <c r="J924" i="3"/>
  <c r="I924" i="3"/>
  <c r="M923" i="3"/>
  <c r="L923" i="3"/>
  <c r="K923" i="3"/>
  <c r="J923" i="3"/>
  <c r="I923" i="3"/>
  <c r="M922" i="3"/>
  <c r="L922" i="3"/>
  <c r="K922" i="3"/>
  <c r="J922" i="3"/>
  <c r="I922" i="3"/>
  <c r="M921" i="3"/>
  <c r="L921" i="3"/>
  <c r="K921" i="3"/>
  <c r="J921" i="3"/>
  <c r="I921" i="3"/>
  <c r="M920" i="3"/>
  <c r="L920" i="3"/>
  <c r="K920" i="3"/>
  <c r="J920" i="3"/>
  <c r="I920" i="3"/>
  <c r="M919" i="3"/>
  <c r="L919" i="3"/>
  <c r="K919" i="3"/>
  <c r="J919" i="3"/>
  <c r="I919" i="3"/>
  <c r="M918" i="3"/>
  <c r="L918" i="3"/>
  <c r="K918" i="3"/>
  <c r="J918" i="3"/>
  <c r="I918" i="3"/>
  <c r="M917" i="3"/>
  <c r="L917" i="3"/>
  <c r="K917" i="3"/>
  <c r="J917" i="3"/>
  <c r="I917" i="3"/>
  <c r="M916" i="3"/>
  <c r="L916" i="3"/>
  <c r="K916" i="3"/>
  <c r="J916" i="3"/>
  <c r="I916" i="3"/>
  <c r="M915" i="3"/>
  <c r="L915" i="3"/>
  <c r="K915" i="3"/>
  <c r="J915" i="3"/>
  <c r="I915" i="3"/>
  <c r="M914" i="3"/>
  <c r="L914" i="3"/>
  <c r="K914" i="3"/>
  <c r="J914" i="3"/>
  <c r="I914" i="3"/>
  <c r="M913" i="3"/>
  <c r="L913" i="3"/>
  <c r="K913" i="3"/>
  <c r="J913" i="3"/>
  <c r="I913" i="3"/>
  <c r="M912" i="3"/>
  <c r="L912" i="3"/>
  <c r="K912" i="3"/>
  <c r="J912" i="3"/>
  <c r="I912" i="3"/>
  <c r="M911" i="3"/>
  <c r="L911" i="3"/>
  <c r="K911" i="3"/>
  <c r="J911" i="3"/>
  <c r="I911" i="3"/>
  <c r="M910" i="3"/>
  <c r="L910" i="3"/>
  <c r="K910" i="3"/>
  <c r="J910" i="3"/>
  <c r="I910" i="3"/>
  <c r="M909" i="3"/>
  <c r="L909" i="3"/>
  <c r="K909" i="3"/>
  <c r="J909" i="3"/>
  <c r="I909" i="3"/>
  <c r="M908" i="3"/>
  <c r="L908" i="3"/>
  <c r="K908" i="3"/>
  <c r="J908" i="3"/>
  <c r="I908" i="3"/>
  <c r="M907" i="3"/>
  <c r="L907" i="3"/>
  <c r="K907" i="3"/>
  <c r="J907" i="3"/>
  <c r="I907" i="3"/>
  <c r="M906" i="3"/>
  <c r="L906" i="3"/>
  <c r="K906" i="3"/>
  <c r="J906" i="3"/>
  <c r="I906" i="3"/>
  <c r="M905" i="3"/>
  <c r="L905" i="3"/>
  <c r="K905" i="3"/>
  <c r="J905" i="3"/>
  <c r="I905" i="3"/>
  <c r="M904" i="3"/>
  <c r="L904" i="3"/>
  <c r="K904" i="3"/>
  <c r="J904" i="3"/>
  <c r="I904" i="3"/>
  <c r="M903" i="3"/>
  <c r="L903" i="3"/>
  <c r="K903" i="3"/>
  <c r="J903" i="3"/>
  <c r="I903" i="3"/>
  <c r="M902" i="3"/>
  <c r="L902" i="3"/>
  <c r="K902" i="3"/>
  <c r="J902" i="3"/>
  <c r="I902" i="3"/>
  <c r="M901" i="3"/>
  <c r="L901" i="3"/>
  <c r="K901" i="3"/>
  <c r="J901" i="3"/>
  <c r="I901" i="3"/>
  <c r="M900" i="3"/>
  <c r="L900" i="3"/>
  <c r="K900" i="3"/>
  <c r="J900" i="3"/>
  <c r="I900" i="3"/>
  <c r="M899" i="3"/>
  <c r="L899" i="3"/>
  <c r="K899" i="3"/>
  <c r="J899" i="3"/>
  <c r="I899" i="3"/>
  <c r="M898" i="3"/>
  <c r="L898" i="3"/>
  <c r="K898" i="3"/>
  <c r="J898" i="3"/>
  <c r="I898" i="3"/>
  <c r="M897" i="3"/>
  <c r="L897" i="3"/>
  <c r="K897" i="3"/>
  <c r="J897" i="3"/>
  <c r="I897" i="3"/>
  <c r="M896" i="3"/>
  <c r="L896" i="3"/>
  <c r="K896" i="3"/>
  <c r="J896" i="3"/>
  <c r="I896" i="3"/>
  <c r="M895" i="3"/>
  <c r="L895" i="3"/>
  <c r="K895" i="3"/>
  <c r="J895" i="3"/>
  <c r="I895" i="3"/>
  <c r="M894" i="3"/>
  <c r="L894" i="3"/>
  <c r="K894" i="3"/>
  <c r="J894" i="3"/>
  <c r="I894" i="3"/>
  <c r="M893" i="3"/>
  <c r="L893" i="3"/>
  <c r="K893" i="3"/>
  <c r="J893" i="3"/>
  <c r="I893" i="3"/>
  <c r="M892" i="3"/>
  <c r="L892" i="3"/>
  <c r="K892" i="3"/>
  <c r="J892" i="3"/>
  <c r="I892" i="3"/>
  <c r="M891" i="3"/>
  <c r="L891" i="3"/>
  <c r="K891" i="3"/>
  <c r="J891" i="3"/>
  <c r="I891" i="3"/>
  <c r="M890" i="3"/>
  <c r="L890" i="3"/>
  <c r="K890" i="3"/>
  <c r="J890" i="3"/>
  <c r="I890" i="3"/>
  <c r="M889" i="3"/>
  <c r="L889" i="3"/>
  <c r="K889" i="3"/>
  <c r="J889" i="3"/>
  <c r="I889" i="3"/>
  <c r="M888" i="3"/>
  <c r="L888" i="3"/>
  <c r="K888" i="3"/>
  <c r="J888" i="3"/>
  <c r="I888" i="3"/>
  <c r="M887" i="3"/>
  <c r="L887" i="3"/>
  <c r="K887" i="3"/>
  <c r="J887" i="3"/>
  <c r="I887" i="3"/>
  <c r="M886" i="3"/>
  <c r="L886" i="3"/>
  <c r="K886" i="3"/>
  <c r="J886" i="3"/>
  <c r="I886" i="3"/>
  <c r="M885" i="3"/>
  <c r="L885" i="3"/>
  <c r="K885" i="3"/>
  <c r="J885" i="3"/>
  <c r="I885" i="3"/>
  <c r="M884" i="3"/>
  <c r="L884" i="3"/>
  <c r="K884" i="3"/>
  <c r="J884" i="3"/>
  <c r="I884" i="3"/>
  <c r="M883" i="3"/>
  <c r="L883" i="3"/>
  <c r="K883" i="3"/>
  <c r="J883" i="3"/>
  <c r="I883" i="3"/>
  <c r="M882" i="3"/>
  <c r="L882" i="3"/>
  <c r="K882" i="3"/>
  <c r="J882" i="3"/>
  <c r="I882" i="3"/>
  <c r="M881" i="3"/>
  <c r="L881" i="3"/>
  <c r="K881" i="3"/>
  <c r="J881" i="3"/>
  <c r="I881" i="3"/>
  <c r="M880" i="3"/>
  <c r="L880" i="3"/>
  <c r="K880" i="3"/>
  <c r="J880" i="3"/>
  <c r="I880" i="3"/>
  <c r="M879" i="3"/>
  <c r="L879" i="3"/>
  <c r="K879" i="3"/>
  <c r="J879" i="3"/>
  <c r="I879" i="3"/>
  <c r="M878" i="3"/>
  <c r="L878" i="3"/>
  <c r="K878" i="3"/>
  <c r="J878" i="3"/>
  <c r="I878" i="3"/>
  <c r="M877" i="3"/>
  <c r="L877" i="3"/>
  <c r="K877" i="3"/>
  <c r="J877" i="3"/>
  <c r="I877" i="3"/>
  <c r="M876" i="3"/>
  <c r="L876" i="3"/>
  <c r="K876" i="3"/>
  <c r="J876" i="3"/>
  <c r="I876" i="3"/>
  <c r="M875" i="3"/>
  <c r="L875" i="3"/>
  <c r="K875" i="3"/>
  <c r="J875" i="3"/>
  <c r="I875" i="3"/>
  <c r="M874" i="3"/>
  <c r="L874" i="3"/>
  <c r="K874" i="3"/>
  <c r="J874" i="3"/>
  <c r="I874" i="3"/>
  <c r="M873" i="3"/>
  <c r="L873" i="3"/>
  <c r="K873" i="3"/>
  <c r="J873" i="3"/>
  <c r="I873" i="3"/>
  <c r="M872" i="3"/>
  <c r="L872" i="3"/>
  <c r="K872" i="3"/>
  <c r="J872" i="3"/>
  <c r="I872" i="3"/>
  <c r="M871" i="3"/>
  <c r="L871" i="3"/>
  <c r="K871" i="3"/>
  <c r="J871" i="3"/>
  <c r="I871" i="3"/>
  <c r="M870" i="3"/>
  <c r="L870" i="3"/>
  <c r="K870" i="3"/>
  <c r="J870" i="3"/>
  <c r="I870" i="3"/>
  <c r="M869" i="3"/>
  <c r="L869" i="3"/>
  <c r="K869" i="3"/>
  <c r="J869" i="3"/>
  <c r="I869" i="3"/>
  <c r="M868" i="3"/>
  <c r="L868" i="3"/>
  <c r="K868" i="3"/>
  <c r="J868" i="3"/>
  <c r="I868" i="3"/>
  <c r="M867" i="3"/>
  <c r="L867" i="3"/>
  <c r="K867" i="3"/>
  <c r="J867" i="3"/>
  <c r="I867" i="3"/>
  <c r="M866" i="3"/>
  <c r="L866" i="3"/>
  <c r="K866" i="3"/>
  <c r="J866" i="3"/>
  <c r="I866" i="3"/>
  <c r="M865" i="3"/>
  <c r="L865" i="3"/>
  <c r="K865" i="3"/>
  <c r="J865" i="3"/>
  <c r="I865" i="3"/>
  <c r="M864" i="3"/>
  <c r="L864" i="3"/>
  <c r="K864" i="3"/>
  <c r="J864" i="3"/>
  <c r="I864" i="3"/>
  <c r="M863" i="3"/>
  <c r="L863" i="3"/>
  <c r="K863" i="3"/>
  <c r="J863" i="3"/>
  <c r="I863" i="3"/>
  <c r="M862" i="3"/>
  <c r="L862" i="3"/>
  <c r="K862" i="3"/>
  <c r="J862" i="3"/>
  <c r="I862" i="3"/>
  <c r="M861" i="3"/>
  <c r="L861" i="3"/>
  <c r="K861" i="3"/>
  <c r="J861" i="3"/>
  <c r="I861" i="3"/>
  <c r="M860" i="3"/>
  <c r="L860" i="3"/>
  <c r="K860" i="3"/>
  <c r="J860" i="3"/>
  <c r="I860" i="3"/>
  <c r="M859" i="3"/>
  <c r="L859" i="3"/>
  <c r="K859" i="3"/>
  <c r="J859" i="3"/>
  <c r="I859" i="3"/>
  <c r="M858" i="3"/>
  <c r="L858" i="3"/>
  <c r="K858" i="3"/>
  <c r="J858" i="3"/>
  <c r="I858" i="3"/>
  <c r="M857" i="3"/>
  <c r="L857" i="3"/>
  <c r="K857" i="3"/>
  <c r="J857" i="3"/>
  <c r="I857" i="3"/>
  <c r="M856" i="3"/>
  <c r="L856" i="3"/>
  <c r="K856" i="3"/>
  <c r="J856" i="3"/>
  <c r="I856" i="3"/>
  <c r="M855" i="3"/>
  <c r="L855" i="3"/>
  <c r="K855" i="3"/>
  <c r="J855" i="3"/>
  <c r="I855" i="3"/>
  <c r="M854" i="3"/>
  <c r="L854" i="3"/>
  <c r="K854" i="3"/>
  <c r="J854" i="3"/>
  <c r="I854" i="3"/>
  <c r="M853" i="3"/>
  <c r="L853" i="3"/>
  <c r="K853" i="3"/>
  <c r="J853" i="3"/>
  <c r="I853" i="3"/>
  <c r="M852" i="3"/>
  <c r="L852" i="3"/>
  <c r="K852" i="3"/>
  <c r="J852" i="3"/>
  <c r="I852" i="3"/>
  <c r="M851" i="3"/>
  <c r="L851" i="3"/>
  <c r="K851" i="3"/>
  <c r="J851" i="3"/>
  <c r="I851" i="3"/>
  <c r="M850" i="3"/>
  <c r="L850" i="3"/>
  <c r="K850" i="3"/>
  <c r="J850" i="3"/>
  <c r="I850" i="3"/>
  <c r="M849" i="3"/>
  <c r="L849" i="3"/>
  <c r="K849" i="3"/>
  <c r="J849" i="3"/>
  <c r="I849" i="3"/>
  <c r="M848" i="3"/>
  <c r="L848" i="3"/>
  <c r="K848" i="3"/>
  <c r="J848" i="3"/>
  <c r="I848" i="3"/>
  <c r="M847" i="3"/>
  <c r="L847" i="3"/>
  <c r="K847" i="3"/>
  <c r="J847" i="3"/>
  <c r="I847" i="3"/>
  <c r="M846" i="3"/>
  <c r="L846" i="3"/>
  <c r="K846" i="3"/>
  <c r="J846" i="3"/>
  <c r="I846" i="3"/>
  <c r="M845" i="3"/>
  <c r="L845" i="3"/>
  <c r="K845" i="3"/>
  <c r="J845" i="3"/>
  <c r="I845" i="3"/>
  <c r="M844" i="3"/>
  <c r="L844" i="3"/>
  <c r="K844" i="3"/>
  <c r="J844" i="3"/>
  <c r="I844" i="3"/>
  <c r="M843" i="3"/>
  <c r="L843" i="3"/>
  <c r="K843" i="3"/>
  <c r="J843" i="3"/>
  <c r="I843" i="3"/>
  <c r="M842" i="3"/>
  <c r="L842" i="3"/>
  <c r="K842" i="3"/>
  <c r="J842" i="3"/>
  <c r="I842" i="3"/>
  <c r="M841" i="3"/>
  <c r="L841" i="3"/>
  <c r="K841" i="3"/>
  <c r="J841" i="3"/>
  <c r="I841" i="3"/>
  <c r="M840" i="3"/>
  <c r="L840" i="3"/>
  <c r="K840" i="3"/>
  <c r="J840" i="3"/>
  <c r="I840" i="3"/>
  <c r="M839" i="3"/>
  <c r="L839" i="3"/>
  <c r="K839" i="3"/>
  <c r="J839" i="3"/>
  <c r="I839" i="3"/>
  <c r="M838" i="3"/>
  <c r="L838" i="3"/>
  <c r="K838" i="3"/>
  <c r="J838" i="3"/>
  <c r="I838" i="3"/>
  <c r="M837" i="3"/>
  <c r="L837" i="3"/>
  <c r="K837" i="3"/>
  <c r="J837" i="3"/>
  <c r="I837" i="3"/>
  <c r="M836" i="3"/>
  <c r="L836" i="3"/>
  <c r="K836" i="3"/>
  <c r="J836" i="3"/>
  <c r="I836" i="3"/>
  <c r="M835" i="3"/>
  <c r="L835" i="3"/>
  <c r="K835" i="3"/>
  <c r="J835" i="3"/>
  <c r="I835" i="3"/>
  <c r="M834" i="3"/>
  <c r="L834" i="3"/>
  <c r="K834" i="3"/>
  <c r="J834" i="3"/>
  <c r="I834" i="3"/>
  <c r="M833" i="3"/>
  <c r="L833" i="3"/>
  <c r="K833" i="3"/>
  <c r="J833" i="3"/>
  <c r="I833" i="3"/>
  <c r="M832" i="3"/>
  <c r="L832" i="3"/>
  <c r="K832" i="3"/>
  <c r="J832" i="3"/>
  <c r="I832" i="3"/>
  <c r="M831" i="3"/>
  <c r="L831" i="3"/>
  <c r="K831" i="3"/>
  <c r="J831" i="3"/>
  <c r="I831" i="3"/>
  <c r="M830" i="3"/>
  <c r="L830" i="3"/>
  <c r="K830" i="3"/>
  <c r="J830" i="3"/>
  <c r="I830" i="3"/>
  <c r="M829" i="3"/>
  <c r="L829" i="3"/>
  <c r="K829" i="3"/>
  <c r="J829" i="3"/>
  <c r="I829" i="3"/>
  <c r="M828" i="3"/>
  <c r="L828" i="3"/>
  <c r="K828" i="3"/>
  <c r="J828" i="3"/>
  <c r="I828" i="3"/>
  <c r="M827" i="3"/>
  <c r="L827" i="3"/>
  <c r="K827" i="3"/>
  <c r="J827" i="3"/>
  <c r="I827" i="3"/>
  <c r="M826" i="3"/>
  <c r="L826" i="3"/>
  <c r="K826" i="3"/>
  <c r="J826" i="3"/>
  <c r="I826" i="3"/>
  <c r="M825" i="3"/>
  <c r="L825" i="3"/>
  <c r="K825" i="3"/>
  <c r="J825" i="3"/>
  <c r="I825" i="3"/>
  <c r="M824" i="3"/>
  <c r="L824" i="3"/>
  <c r="K824" i="3"/>
  <c r="J824" i="3"/>
  <c r="I824" i="3"/>
  <c r="M823" i="3"/>
  <c r="L823" i="3"/>
  <c r="K823" i="3"/>
  <c r="J823" i="3"/>
  <c r="I823" i="3"/>
  <c r="M822" i="3"/>
  <c r="L822" i="3"/>
  <c r="K822" i="3"/>
  <c r="J822" i="3"/>
  <c r="I822" i="3"/>
  <c r="M821" i="3"/>
  <c r="L821" i="3"/>
  <c r="K821" i="3"/>
  <c r="J821" i="3"/>
  <c r="I821" i="3"/>
  <c r="M820" i="3"/>
  <c r="L820" i="3"/>
  <c r="K820" i="3"/>
  <c r="J820" i="3"/>
  <c r="I820" i="3"/>
  <c r="M819" i="3"/>
  <c r="L819" i="3"/>
  <c r="K819" i="3"/>
  <c r="J819" i="3"/>
  <c r="I819" i="3"/>
  <c r="M818" i="3"/>
  <c r="L818" i="3"/>
  <c r="K818" i="3"/>
  <c r="J818" i="3"/>
  <c r="I818" i="3"/>
  <c r="M817" i="3"/>
  <c r="L817" i="3"/>
  <c r="K817" i="3"/>
  <c r="J817" i="3"/>
  <c r="I817" i="3"/>
  <c r="M816" i="3"/>
  <c r="L816" i="3"/>
  <c r="K816" i="3"/>
  <c r="J816" i="3"/>
  <c r="I816" i="3"/>
  <c r="M815" i="3"/>
  <c r="L815" i="3"/>
  <c r="K815" i="3"/>
  <c r="J815" i="3"/>
  <c r="I815" i="3"/>
  <c r="M814" i="3"/>
  <c r="L814" i="3"/>
  <c r="K814" i="3"/>
  <c r="J814" i="3"/>
  <c r="I814" i="3"/>
  <c r="M813" i="3"/>
  <c r="L813" i="3"/>
  <c r="K813" i="3"/>
  <c r="J813" i="3"/>
  <c r="I813" i="3"/>
  <c r="M812" i="3"/>
  <c r="L812" i="3"/>
  <c r="K812" i="3"/>
  <c r="J812" i="3"/>
  <c r="I812" i="3"/>
  <c r="M811" i="3"/>
  <c r="L811" i="3"/>
  <c r="K811" i="3"/>
  <c r="J811" i="3"/>
  <c r="I811" i="3"/>
  <c r="M810" i="3"/>
  <c r="L810" i="3"/>
  <c r="K810" i="3"/>
  <c r="J810" i="3"/>
  <c r="I810" i="3"/>
  <c r="M809" i="3"/>
  <c r="L809" i="3"/>
  <c r="K809" i="3"/>
  <c r="J809" i="3"/>
  <c r="I809" i="3"/>
  <c r="M808" i="3"/>
  <c r="L808" i="3"/>
  <c r="K808" i="3"/>
  <c r="J808" i="3"/>
  <c r="I808" i="3"/>
  <c r="M807" i="3"/>
  <c r="L807" i="3"/>
  <c r="K807" i="3"/>
  <c r="J807" i="3"/>
  <c r="I807" i="3"/>
  <c r="M806" i="3"/>
  <c r="L806" i="3"/>
  <c r="K806" i="3"/>
  <c r="J806" i="3"/>
  <c r="I806" i="3"/>
  <c r="M805" i="3"/>
  <c r="L805" i="3"/>
  <c r="K805" i="3"/>
  <c r="J805" i="3"/>
  <c r="I805" i="3"/>
  <c r="M804" i="3"/>
  <c r="L804" i="3"/>
  <c r="K804" i="3"/>
  <c r="J804" i="3"/>
  <c r="I804" i="3"/>
  <c r="M803" i="3"/>
  <c r="L803" i="3"/>
  <c r="K803" i="3"/>
  <c r="J803" i="3"/>
  <c r="I803" i="3"/>
  <c r="M802" i="3"/>
  <c r="L802" i="3"/>
  <c r="K802" i="3"/>
  <c r="J802" i="3"/>
  <c r="I802" i="3"/>
  <c r="M801" i="3"/>
  <c r="L801" i="3"/>
  <c r="K801" i="3"/>
  <c r="J801" i="3"/>
  <c r="I801" i="3"/>
  <c r="M800" i="3"/>
  <c r="L800" i="3"/>
  <c r="K800" i="3"/>
  <c r="J800" i="3"/>
  <c r="I800" i="3"/>
  <c r="M799" i="3"/>
  <c r="L799" i="3"/>
  <c r="K799" i="3"/>
  <c r="J799" i="3"/>
  <c r="I799" i="3"/>
  <c r="M798" i="3"/>
  <c r="L798" i="3"/>
  <c r="K798" i="3"/>
  <c r="J798" i="3"/>
  <c r="I798" i="3"/>
  <c r="M797" i="3"/>
  <c r="L797" i="3"/>
  <c r="K797" i="3"/>
  <c r="J797" i="3"/>
  <c r="I797" i="3"/>
  <c r="M796" i="3"/>
  <c r="L796" i="3"/>
  <c r="K796" i="3"/>
  <c r="J796" i="3"/>
  <c r="I796" i="3"/>
  <c r="M795" i="3"/>
  <c r="L795" i="3"/>
  <c r="K795" i="3"/>
  <c r="J795" i="3"/>
  <c r="I795" i="3"/>
  <c r="M794" i="3"/>
  <c r="L794" i="3"/>
  <c r="K794" i="3"/>
  <c r="J794" i="3"/>
  <c r="I794" i="3"/>
  <c r="M793" i="3"/>
  <c r="L793" i="3"/>
  <c r="K793" i="3"/>
  <c r="J793" i="3"/>
  <c r="I793" i="3"/>
  <c r="M792" i="3"/>
  <c r="L792" i="3"/>
  <c r="K792" i="3"/>
  <c r="J792" i="3"/>
  <c r="I792" i="3"/>
  <c r="M791" i="3"/>
  <c r="L791" i="3"/>
  <c r="K791" i="3"/>
  <c r="J791" i="3"/>
  <c r="I791" i="3"/>
  <c r="M790" i="3"/>
  <c r="L790" i="3"/>
  <c r="K790" i="3"/>
  <c r="J790" i="3"/>
  <c r="I790" i="3"/>
  <c r="M789" i="3"/>
  <c r="L789" i="3"/>
  <c r="K789" i="3"/>
  <c r="J789" i="3"/>
  <c r="I789" i="3"/>
  <c r="M788" i="3"/>
  <c r="L788" i="3"/>
  <c r="K788" i="3"/>
  <c r="J788" i="3"/>
  <c r="I788" i="3"/>
  <c r="M787" i="3"/>
  <c r="L787" i="3"/>
  <c r="K787" i="3"/>
  <c r="J787" i="3"/>
  <c r="I787" i="3"/>
  <c r="M786" i="3"/>
  <c r="L786" i="3"/>
  <c r="K786" i="3"/>
  <c r="J786" i="3"/>
  <c r="I786" i="3"/>
  <c r="M785" i="3"/>
  <c r="L785" i="3"/>
  <c r="K785" i="3"/>
  <c r="J785" i="3"/>
  <c r="I785" i="3"/>
  <c r="M784" i="3"/>
  <c r="L784" i="3"/>
  <c r="K784" i="3"/>
  <c r="J784" i="3"/>
  <c r="I784" i="3"/>
  <c r="M783" i="3"/>
  <c r="L783" i="3"/>
  <c r="K783" i="3"/>
  <c r="J783" i="3"/>
  <c r="I783" i="3"/>
  <c r="M782" i="3"/>
  <c r="L782" i="3"/>
  <c r="K782" i="3"/>
  <c r="J782" i="3"/>
  <c r="I782" i="3"/>
  <c r="M781" i="3"/>
  <c r="L781" i="3"/>
  <c r="K781" i="3"/>
  <c r="J781" i="3"/>
  <c r="I781" i="3"/>
  <c r="M780" i="3"/>
  <c r="L780" i="3"/>
  <c r="K780" i="3"/>
  <c r="J780" i="3"/>
  <c r="I780" i="3"/>
  <c r="M779" i="3"/>
  <c r="L779" i="3"/>
  <c r="K779" i="3"/>
  <c r="J779" i="3"/>
  <c r="I779" i="3"/>
  <c r="M778" i="3"/>
  <c r="L778" i="3"/>
  <c r="K778" i="3"/>
  <c r="J778" i="3"/>
  <c r="I778" i="3"/>
  <c r="M777" i="3"/>
  <c r="L777" i="3"/>
  <c r="K777" i="3"/>
  <c r="J777" i="3"/>
  <c r="I777" i="3"/>
  <c r="M776" i="3"/>
  <c r="L776" i="3"/>
  <c r="K776" i="3"/>
  <c r="J776" i="3"/>
  <c r="I776" i="3"/>
  <c r="M775" i="3"/>
  <c r="L775" i="3"/>
  <c r="K775" i="3"/>
  <c r="J775" i="3"/>
  <c r="I775" i="3"/>
  <c r="M774" i="3"/>
  <c r="L774" i="3"/>
  <c r="K774" i="3"/>
  <c r="J774" i="3"/>
  <c r="I774" i="3"/>
  <c r="M773" i="3"/>
  <c r="L773" i="3"/>
  <c r="K773" i="3"/>
  <c r="J773" i="3"/>
  <c r="I773" i="3"/>
  <c r="M772" i="3"/>
  <c r="L772" i="3"/>
  <c r="K772" i="3"/>
  <c r="J772" i="3"/>
  <c r="I772" i="3"/>
  <c r="M771" i="3"/>
  <c r="L771" i="3"/>
  <c r="K771" i="3"/>
  <c r="J771" i="3"/>
  <c r="I771" i="3"/>
  <c r="M770" i="3"/>
  <c r="L770" i="3"/>
  <c r="K770" i="3"/>
  <c r="J770" i="3"/>
  <c r="I770" i="3"/>
  <c r="M769" i="3"/>
  <c r="L769" i="3"/>
  <c r="K769" i="3"/>
  <c r="J769" i="3"/>
  <c r="I769" i="3"/>
  <c r="M768" i="3"/>
  <c r="L768" i="3"/>
  <c r="K768" i="3"/>
  <c r="J768" i="3"/>
  <c r="I768" i="3"/>
  <c r="M767" i="3"/>
  <c r="L767" i="3"/>
  <c r="K767" i="3"/>
  <c r="J767" i="3"/>
  <c r="I767" i="3"/>
  <c r="M766" i="3"/>
  <c r="L766" i="3"/>
  <c r="K766" i="3"/>
  <c r="J766" i="3"/>
  <c r="I766" i="3"/>
  <c r="M765" i="3"/>
  <c r="L765" i="3"/>
  <c r="K765" i="3"/>
  <c r="J765" i="3"/>
  <c r="I765" i="3"/>
  <c r="M764" i="3"/>
  <c r="L764" i="3"/>
  <c r="K764" i="3"/>
  <c r="J764" i="3"/>
  <c r="I764" i="3"/>
  <c r="M763" i="3"/>
  <c r="L763" i="3"/>
  <c r="K763" i="3"/>
  <c r="J763" i="3"/>
  <c r="I763" i="3"/>
  <c r="M762" i="3"/>
  <c r="L762" i="3"/>
  <c r="K762" i="3"/>
  <c r="J762" i="3"/>
  <c r="I762" i="3"/>
  <c r="M761" i="3"/>
  <c r="L761" i="3"/>
  <c r="K761" i="3"/>
  <c r="J761" i="3"/>
  <c r="I761" i="3"/>
  <c r="M760" i="3"/>
  <c r="L760" i="3"/>
  <c r="K760" i="3"/>
  <c r="J760" i="3"/>
  <c r="I760" i="3"/>
  <c r="M759" i="3"/>
  <c r="L759" i="3"/>
  <c r="K759" i="3"/>
  <c r="J759" i="3"/>
  <c r="I759" i="3"/>
  <c r="M758" i="3"/>
  <c r="L758" i="3"/>
  <c r="K758" i="3"/>
  <c r="J758" i="3"/>
  <c r="I758" i="3"/>
  <c r="M757" i="3"/>
  <c r="L757" i="3"/>
  <c r="K757" i="3"/>
  <c r="J757" i="3"/>
  <c r="I757" i="3"/>
  <c r="M756" i="3"/>
  <c r="L756" i="3"/>
  <c r="K756" i="3"/>
  <c r="J756" i="3"/>
  <c r="I756" i="3"/>
  <c r="M755" i="3"/>
  <c r="L755" i="3"/>
  <c r="K755" i="3"/>
  <c r="J755" i="3"/>
  <c r="I755" i="3"/>
  <c r="M754" i="3"/>
  <c r="L754" i="3"/>
  <c r="K754" i="3"/>
  <c r="J754" i="3"/>
  <c r="I754" i="3"/>
  <c r="M753" i="3"/>
  <c r="L753" i="3"/>
  <c r="K753" i="3"/>
  <c r="J753" i="3"/>
  <c r="I753" i="3"/>
  <c r="M752" i="3"/>
  <c r="L752" i="3"/>
  <c r="K752" i="3"/>
  <c r="J752" i="3"/>
  <c r="I752" i="3"/>
  <c r="M751" i="3"/>
  <c r="L751" i="3"/>
  <c r="K751" i="3"/>
  <c r="J751" i="3"/>
  <c r="I751" i="3"/>
  <c r="M750" i="3"/>
  <c r="L750" i="3"/>
  <c r="K750" i="3"/>
  <c r="J750" i="3"/>
  <c r="I750" i="3"/>
  <c r="M749" i="3"/>
  <c r="L749" i="3"/>
  <c r="K749" i="3"/>
  <c r="J749" i="3"/>
  <c r="I749" i="3"/>
  <c r="M748" i="3"/>
  <c r="L748" i="3"/>
  <c r="K748" i="3"/>
  <c r="J748" i="3"/>
  <c r="I748" i="3"/>
  <c r="M747" i="3"/>
  <c r="L747" i="3"/>
  <c r="K747" i="3"/>
  <c r="J747" i="3"/>
  <c r="I747" i="3"/>
  <c r="M746" i="3"/>
  <c r="L746" i="3"/>
  <c r="K746" i="3"/>
  <c r="J746" i="3"/>
  <c r="I746" i="3"/>
  <c r="M745" i="3"/>
  <c r="L745" i="3"/>
  <c r="K745" i="3"/>
  <c r="J745" i="3"/>
  <c r="I745" i="3"/>
  <c r="M744" i="3"/>
  <c r="L744" i="3"/>
  <c r="K744" i="3"/>
  <c r="J744" i="3"/>
  <c r="I744" i="3"/>
  <c r="M743" i="3"/>
  <c r="L743" i="3"/>
  <c r="K743" i="3"/>
  <c r="J743" i="3"/>
  <c r="I743" i="3"/>
  <c r="M742" i="3"/>
  <c r="L742" i="3"/>
  <c r="K742" i="3"/>
  <c r="J742" i="3"/>
  <c r="I742" i="3"/>
  <c r="M741" i="3"/>
  <c r="L741" i="3"/>
  <c r="K741" i="3"/>
  <c r="J741" i="3"/>
  <c r="I741" i="3"/>
  <c r="M740" i="3"/>
  <c r="L740" i="3"/>
  <c r="K740" i="3"/>
  <c r="J740" i="3"/>
  <c r="I740" i="3"/>
  <c r="M739" i="3"/>
  <c r="L739" i="3"/>
  <c r="K739" i="3"/>
  <c r="J739" i="3"/>
  <c r="I739" i="3"/>
  <c r="M738" i="3"/>
  <c r="L738" i="3"/>
  <c r="K738" i="3"/>
  <c r="J738" i="3"/>
  <c r="I738" i="3"/>
  <c r="M737" i="3"/>
  <c r="L737" i="3"/>
  <c r="K737" i="3"/>
  <c r="J737" i="3"/>
  <c r="I737" i="3"/>
  <c r="M736" i="3"/>
  <c r="L736" i="3"/>
  <c r="K736" i="3"/>
  <c r="J736" i="3"/>
  <c r="I736" i="3"/>
  <c r="M735" i="3"/>
  <c r="L735" i="3"/>
  <c r="K735" i="3"/>
  <c r="J735" i="3"/>
  <c r="I735" i="3"/>
  <c r="M734" i="3"/>
  <c r="L734" i="3"/>
  <c r="K734" i="3"/>
  <c r="J734" i="3"/>
  <c r="I734" i="3"/>
  <c r="M733" i="3"/>
  <c r="L733" i="3"/>
  <c r="K733" i="3"/>
  <c r="J733" i="3"/>
  <c r="I733" i="3"/>
  <c r="M732" i="3"/>
  <c r="L732" i="3"/>
  <c r="K732" i="3"/>
  <c r="J732" i="3"/>
  <c r="I732" i="3"/>
  <c r="M731" i="3"/>
  <c r="L731" i="3"/>
  <c r="K731" i="3"/>
  <c r="J731" i="3"/>
  <c r="I731" i="3"/>
  <c r="M730" i="3"/>
  <c r="L730" i="3"/>
  <c r="K730" i="3"/>
  <c r="J730" i="3"/>
  <c r="I730" i="3"/>
  <c r="M729" i="3"/>
  <c r="L729" i="3"/>
  <c r="K729" i="3"/>
  <c r="J729" i="3"/>
  <c r="I729" i="3"/>
  <c r="M728" i="3"/>
  <c r="L728" i="3"/>
  <c r="K728" i="3"/>
  <c r="J728" i="3"/>
  <c r="I728" i="3"/>
  <c r="M727" i="3"/>
  <c r="L727" i="3"/>
  <c r="K727" i="3"/>
  <c r="J727" i="3"/>
  <c r="I727" i="3"/>
  <c r="M726" i="3"/>
  <c r="L726" i="3"/>
  <c r="K726" i="3"/>
  <c r="J726" i="3"/>
  <c r="I726" i="3"/>
  <c r="M725" i="3"/>
  <c r="L725" i="3"/>
  <c r="K725" i="3"/>
  <c r="J725" i="3"/>
  <c r="I725" i="3"/>
  <c r="M724" i="3"/>
  <c r="L724" i="3"/>
  <c r="K724" i="3"/>
  <c r="J724" i="3"/>
  <c r="I724" i="3"/>
  <c r="M723" i="3"/>
  <c r="L723" i="3"/>
  <c r="K723" i="3"/>
  <c r="J723" i="3"/>
  <c r="I723" i="3"/>
  <c r="M722" i="3"/>
  <c r="L722" i="3"/>
  <c r="K722" i="3"/>
  <c r="J722" i="3"/>
  <c r="I722" i="3"/>
  <c r="M721" i="3"/>
  <c r="L721" i="3"/>
  <c r="K721" i="3"/>
  <c r="J721" i="3"/>
  <c r="I721" i="3"/>
  <c r="M720" i="3"/>
  <c r="L720" i="3"/>
  <c r="K720" i="3"/>
  <c r="J720" i="3"/>
  <c r="I720" i="3"/>
  <c r="M719" i="3"/>
  <c r="L719" i="3"/>
  <c r="K719" i="3"/>
  <c r="J719" i="3"/>
  <c r="I719" i="3"/>
  <c r="M718" i="3"/>
  <c r="L718" i="3"/>
  <c r="K718" i="3"/>
  <c r="J718" i="3"/>
  <c r="I718" i="3"/>
  <c r="M717" i="3"/>
  <c r="L717" i="3"/>
  <c r="K717" i="3"/>
  <c r="J717" i="3"/>
  <c r="I717" i="3"/>
  <c r="M716" i="3"/>
  <c r="L716" i="3"/>
  <c r="K716" i="3"/>
  <c r="J716" i="3"/>
  <c r="I716" i="3"/>
  <c r="M715" i="3"/>
  <c r="L715" i="3"/>
  <c r="K715" i="3"/>
  <c r="J715" i="3"/>
  <c r="I715" i="3"/>
  <c r="M714" i="3"/>
  <c r="L714" i="3"/>
  <c r="K714" i="3"/>
  <c r="J714" i="3"/>
  <c r="I714" i="3"/>
  <c r="M713" i="3"/>
  <c r="L713" i="3"/>
  <c r="K713" i="3"/>
  <c r="J713" i="3"/>
  <c r="I713" i="3"/>
  <c r="M712" i="3"/>
  <c r="L712" i="3"/>
  <c r="K712" i="3"/>
  <c r="J712" i="3"/>
  <c r="I712" i="3"/>
  <c r="M711" i="3"/>
  <c r="L711" i="3"/>
  <c r="K711" i="3"/>
  <c r="J711" i="3"/>
  <c r="I711" i="3"/>
  <c r="M710" i="3"/>
  <c r="L710" i="3"/>
  <c r="K710" i="3"/>
  <c r="J710" i="3"/>
  <c r="I710" i="3"/>
  <c r="M709" i="3"/>
  <c r="L709" i="3"/>
  <c r="K709" i="3"/>
  <c r="J709" i="3"/>
  <c r="I709" i="3"/>
  <c r="M708" i="3"/>
  <c r="L708" i="3"/>
  <c r="K708" i="3"/>
  <c r="J708" i="3"/>
  <c r="I708" i="3"/>
  <c r="M707" i="3"/>
  <c r="L707" i="3"/>
  <c r="K707" i="3"/>
  <c r="J707" i="3"/>
  <c r="I707" i="3"/>
  <c r="M706" i="3"/>
  <c r="L706" i="3"/>
  <c r="K706" i="3"/>
  <c r="J706" i="3"/>
  <c r="I706" i="3"/>
  <c r="M705" i="3"/>
  <c r="L705" i="3"/>
  <c r="K705" i="3"/>
  <c r="J705" i="3"/>
  <c r="I705" i="3"/>
  <c r="M704" i="3"/>
  <c r="L704" i="3"/>
  <c r="K704" i="3"/>
  <c r="J704" i="3"/>
  <c r="I704" i="3"/>
  <c r="M703" i="3"/>
  <c r="L703" i="3"/>
  <c r="K703" i="3"/>
  <c r="J703" i="3"/>
  <c r="I703" i="3"/>
  <c r="M702" i="3"/>
  <c r="L702" i="3"/>
  <c r="K702" i="3"/>
  <c r="J702" i="3"/>
  <c r="I702" i="3"/>
  <c r="M701" i="3"/>
  <c r="L701" i="3"/>
  <c r="K701" i="3"/>
  <c r="J701" i="3"/>
  <c r="I701" i="3"/>
  <c r="M700" i="3"/>
  <c r="L700" i="3"/>
  <c r="K700" i="3"/>
  <c r="J700" i="3"/>
  <c r="I700" i="3"/>
  <c r="M699" i="3"/>
  <c r="L699" i="3"/>
  <c r="K699" i="3"/>
  <c r="J699" i="3"/>
  <c r="I699" i="3"/>
  <c r="M698" i="3"/>
  <c r="L698" i="3"/>
  <c r="K698" i="3"/>
  <c r="J698" i="3"/>
  <c r="I698" i="3"/>
  <c r="M697" i="3"/>
  <c r="L697" i="3"/>
  <c r="K697" i="3"/>
  <c r="J697" i="3"/>
  <c r="I697" i="3"/>
  <c r="M696" i="3"/>
  <c r="L696" i="3"/>
  <c r="K696" i="3"/>
  <c r="J696" i="3"/>
  <c r="I696" i="3"/>
  <c r="M695" i="3"/>
  <c r="L695" i="3"/>
  <c r="K695" i="3"/>
  <c r="J695" i="3"/>
  <c r="I695" i="3"/>
  <c r="M694" i="3"/>
  <c r="L694" i="3"/>
  <c r="K694" i="3"/>
  <c r="J694" i="3"/>
  <c r="I694" i="3"/>
  <c r="M693" i="3"/>
  <c r="L693" i="3"/>
  <c r="K693" i="3"/>
  <c r="J693" i="3"/>
  <c r="I693" i="3"/>
  <c r="M692" i="3"/>
  <c r="L692" i="3"/>
  <c r="K692" i="3"/>
  <c r="J692" i="3"/>
  <c r="I692" i="3"/>
  <c r="M691" i="3"/>
  <c r="L691" i="3"/>
  <c r="K691" i="3"/>
  <c r="J691" i="3"/>
  <c r="I691" i="3"/>
  <c r="M690" i="3"/>
  <c r="L690" i="3"/>
  <c r="K690" i="3"/>
  <c r="J690" i="3"/>
  <c r="I690" i="3"/>
  <c r="M689" i="3"/>
  <c r="L689" i="3"/>
  <c r="K689" i="3"/>
  <c r="J689" i="3"/>
  <c r="I689" i="3"/>
  <c r="M688" i="3"/>
  <c r="L688" i="3"/>
  <c r="K688" i="3"/>
  <c r="J688" i="3"/>
  <c r="I688" i="3"/>
  <c r="M687" i="3"/>
  <c r="L687" i="3"/>
  <c r="K687" i="3"/>
  <c r="J687" i="3"/>
  <c r="I687" i="3"/>
  <c r="M686" i="3"/>
  <c r="L686" i="3"/>
  <c r="K686" i="3"/>
  <c r="J686" i="3"/>
  <c r="I686" i="3"/>
  <c r="M685" i="3"/>
  <c r="L685" i="3"/>
  <c r="K685" i="3"/>
  <c r="J685" i="3"/>
  <c r="I685" i="3"/>
  <c r="M684" i="3"/>
  <c r="L684" i="3"/>
  <c r="K684" i="3"/>
  <c r="J684" i="3"/>
  <c r="I684" i="3"/>
  <c r="M683" i="3"/>
  <c r="L683" i="3"/>
  <c r="K683" i="3"/>
  <c r="J683" i="3"/>
  <c r="I683" i="3"/>
  <c r="M682" i="3"/>
  <c r="L682" i="3"/>
  <c r="K682" i="3"/>
  <c r="J682" i="3"/>
  <c r="I682" i="3"/>
  <c r="M681" i="3"/>
  <c r="L681" i="3"/>
  <c r="K681" i="3"/>
  <c r="J681" i="3"/>
  <c r="I681" i="3"/>
  <c r="M680" i="3"/>
  <c r="L680" i="3"/>
  <c r="K680" i="3"/>
  <c r="J680" i="3"/>
  <c r="I680" i="3"/>
  <c r="M679" i="3"/>
  <c r="L679" i="3"/>
  <c r="K679" i="3"/>
  <c r="J679" i="3"/>
  <c r="I679" i="3"/>
  <c r="M678" i="3"/>
  <c r="L678" i="3"/>
  <c r="K678" i="3"/>
  <c r="J678" i="3"/>
  <c r="I678" i="3"/>
  <c r="M677" i="3"/>
  <c r="L677" i="3"/>
  <c r="K677" i="3"/>
  <c r="J677" i="3"/>
  <c r="I677" i="3"/>
  <c r="M676" i="3"/>
  <c r="L676" i="3"/>
  <c r="K676" i="3"/>
  <c r="J676" i="3"/>
  <c r="I676" i="3"/>
  <c r="M675" i="3"/>
  <c r="L675" i="3"/>
  <c r="K675" i="3"/>
  <c r="J675" i="3"/>
  <c r="I675" i="3"/>
  <c r="M674" i="3"/>
  <c r="L674" i="3"/>
  <c r="K674" i="3"/>
  <c r="J674" i="3"/>
  <c r="I674" i="3"/>
  <c r="M673" i="3"/>
  <c r="L673" i="3"/>
  <c r="K673" i="3"/>
  <c r="J673" i="3"/>
  <c r="I673" i="3"/>
  <c r="M672" i="3"/>
  <c r="L672" i="3"/>
  <c r="K672" i="3"/>
  <c r="J672" i="3"/>
  <c r="I672" i="3"/>
  <c r="M671" i="3"/>
  <c r="L671" i="3"/>
  <c r="K671" i="3"/>
  <c r="J671" i="3"/>
  <c r="I671" i="3"/>
  <c r="M670" i="3"/>
  <c r="L670" i="3"/>
  <c r="K670" i="3"/>
  <c r="J670" i="3"/>
  <c r="I670" i="3"/>
  <c r="M669" i="3"/>
  <c r="L669" i="3"/>
  <c r="K669" i="3"/>
  <c r="J669" i="3"/>
  <c r="I669" i="3"/>
  <c r="M668" i="3"/>
  <c r="L668" i="3"/>
  <c r="K668" i="3"/>
  <c r="J668" i="3"/>
  <c r="I668" i="3"/>
  <c r="M667" i="3"/>
  <c r="L667" i="3"/>
  <c r="K667" i="3"/>
  <c r="J667" i="3"/>
  <c r="I667" i="3"/>
  <c r="M666" i="3"/>
  <c r="L666" i="3"/>
  <c r="K666" i="3"/>
  <c r="J666" i="3"/>
  <c r="I666" i="3"/>
  <c r="M665" i="3"/>
  <c r="L665" i="3"/>
  <c r="K665" i="3"/>
  <c r="J665" i="3"/>
  <c r="I665" i="3"/>
  <c r="M664" i="3"/>
  <c r="L664" i="3"/>
  <c r="K664" i="3"/>
  <c r="J664" i="3"/>
  <c r="I664" i="3"/>
  <c r="M663" i="3"/>
  <c r="L663" i="3"/>
  <c r="K663" i="3"/>
  <c r="J663" i="3"/>
  <c r="I663" i="3"/>
  <c r="M662" i="3"/>
  <c r="L662" i="3"/>
  <c r="K662" i="3"/>
  <c r="J662" i="3"/>
  <c r="I662" i="3"/>
  <c r="M661" i="3"/>
  <c r="L661" i="3"/>
  <c r="K661" i="3"/>
  <c r="J661" i="3"/>
  <c r="I661" i="3"/>
  <c r="M660" i="3"/>
  <c r="L660" i="3"/>
  <c r="K660" i="3"/>
  <c r="J660" i="3"/>
  <c r="I660" i="3"/>
  <c r="M659" i="3"/>
  <c r="L659" i="3"/>
  <c r="K659" i="3"/>
  <c r="J659" i="3"/>
  <c r="I659" i="3"/>
  <c r="M658" i="3"/>
  <c r="L658" i="3"/>
  <c r="K658" i="3"/>
  <c r="J658" i="3"/>
  <c r="I658" i="3"/>
  <c r="M657" i="3"/>
  <c r="L657" i="3"/>
  <c r="K657" i="3"/>
  <c r="J657" i="3"/>
  <c r="I657" i="3"/>
  <c r="M656" i="3"/>
  <c r="L656" i="3"/>
  <c r="K656" i="3"/>
  <c r="J656" i="3"/>
  <c r="I656" i="3"/>
  <c r="M655" i="3"/>
  <c r="L655" i="3"/>
  <c r="K655" i="3"/>
  <c r="J655" i="3"/>
  <c r="I655" i="3"/>
  <c r="M654" i="3"/>
  <c r="L654" i="3"/>
  <c r="K654" i="3"/>
  <c r="J654" i="3"/>
  <c r="I654" i="3"/>
  <c r="M653" i="3"/>
  <c r="L653" i="3"/>
  <c r="K653" i="3"/>
  <c r="J653" i="3"/>
  <c r="I653" i="3"/>
  <c r="M652" i="3"/>
  <c r="L652" i="3"/>
  <c r="K652" i="3"/>
  <c r="J652" i="3"/>
  <c r="I652" i="3"/>
  <c r="M651" i="3"/>
  <c r="L651" i="3"/>
  <c r="K651" i="3"/>
  <c r="J651" i="3"/>
  <c r="I651" i="3"/>
  <c r="M650" i="3"/>
  <c r="L650" i="3"/>
  <c r="K650" i="3"/>
  <c r="J650" i="3"/>
  <c r="I650" i="3"/>
  <c r="M649" i="3"/>
  <c r="L649" i="3"/>
  <c r="K649" i="3"/>
  <c r="J649" i="3"/>
  <c r="I649" i="3"/>
  <c r="M648" i="3"/>
  <c r="L648" i="3"/>
  <c r="K648" i="3"/>
  <c r="J648" i="3"/>
  <c r="I648" i="3"/>
  <c r="M647" i="3"/>
  <c r="L647" i="3"/>
  <c r="K647" i="3"/>
  <c r="J647" i="3"/>
  <c r="I647" i="3"/>
  <c r="M646" i="3"/>
  <c r="L646" i="3"/>
  <c r="K646" i="3"/>
  <c r="J646" i="3"/>
  <c r="I646" i="3"/>
  <c r="M645" i="3"/>
  <c r="L645" i="3"/>
  <c r="K645" i="3"/>
  <c r="J645" i="3"/>
  <c r="I645" i="3"/>
  <c r="M644" i="3"/>
  <c r="L644" i="3"/>
  <c r="K644" i="3"/>
  <c r="J644" i="3"/>
  <c r="I644" i="3"/>
  <c r="M643" i="3"/>
  <c r="L643" i="3"/>
  <c r="K643" i="3"/>
  <c r="J643" i="3"/>
  <c r="I643" i="3"/>
  <c r="M642" i="3"/>
  <c r="L642" i="3"/>
  <c r="K642" i="3"/>
  <c r="J642" i="3"/>
  <c r="I642" i="3"/>
  <c r="M641" i="3"/>
  <c r="L641" i="3"/>
  <c r="K641" i="3"/>
  <c r="J641" i="3"/>
  <c r="I641" i="3"/>
  <c r="M640" i="3"/>
  <c r="L640" i="3"/>
  <c r="K640" i="3"/>
  <c r="J640" i="3"/>
  <c r="I640" i="3"/>
  <c r="M639" i="3"/>
  <c r="L639" i="3"/>
  <c r="K639" i="3"/>
  <c r="J639" i="3"/>
  <c r="I639" i="3"/>
  <c r="M638" i="3"/>
  <c r="L638" i="3"/>
  <c r="K638" i="3"/>
  <c r="J638" i="3"/>
  <c r="I638" i="3"/>
  <c r="M637" i="3"/>
  <c r="L637" i="3"/>
  <c r="K637" i="3"/>
  <c r="J637" i="3"/>
  <c r="I637" i="3"/>
  <c r="M636" i="3"/>
  <c r="L636" i="3"/>
  <c r="K636" i="3"/>
  <c r="J636" i="3"/>
  <c r="I636" i="3"/>
  <c r="M635" i="3"/>
  <c r="L635" i="3"/>
  <c r="K635" i="3"/>
  <c r="J635" i="3"/>
  <c r="I635" i="3"/>
  <c r="M634" i="3"/>
  <c r="L634" i="3"/>
  <c r="K634" i="3"/>
  <c r="J634" i="3"/>
  <c r="I634" i="3"/>
  <c r="M633" i="3"/>
  <c r="L633" i="3"/>
  <c r="K633" i="3"/>
  <c r="J633" i="3"/>
  <c r="I633" i="3"/>
  <c r="M632" i="3"/>
  <c r="L632" i="3"/>
  <c r="K632" i="3"/>
  <c r="J632" i="3"/>
  <c r="I632" i="3"/>
  <c r="M631" i="3"/>
  <c r="L631" i="3"/>
  <c r="K631" i="3"/>
  <c r="J631" i="3"/>
  <c r="I631" i="3"/>
  <c r="M630" i="3"/>
  <c r="L630" i="3"/>
  <c r="K630" i="3"/>
  <c r="J630" i="3"/>
  <c r="I630" i="3"/>
  <c r="M629" i="3"/>
  <c r="L629" i="3"/>
  <c r="K629" i="3"/>
  <c r="J629" i="3"/>
  <c r="I629" i="3"/>
  <c r="M628" i="3"/>
  <c r="L628" i="3"/>
  <c r="K628" i="3"/>
  <c r="J628" i="3"/>
  <c r="I628" i="3"/>
  <c r="M627" i="3"/>
  <c r="L627" i="3"/>
  <c r="K627" i="3"/>
  <c r="J627" i="3"/>
  <c r="I627" i="3"/>
  <c r="M626" i="3"/>
  <c r="L626" i="3"/>
  <c r="K626" i="3"/>
  <c r="J626" i="3"/>
  <c r="I626" i="3"/>
  <c r="M625" i="3"/>
  <c r="L625" i="3"/>
  <c r="K625" i="3"/>
  <c r="J625" i="3"/>
  <c r="I625" i="3"/>
  <c r="M624" i="3"/>
  <c r="L624" i="3"/>
  <c r="K624" i="3"/>
  <c r="J624" i="3"/>
  <c r="I624" i="3"/>
  <c r="M623" i="3"/>
  <c r="L623" i="3"/>
  <c r="K623" i="3"/>
  <c r="J623" i="3"/>
  <c r="I623" i="3"/>
  <c r="M622" i="3"/>
  <c r="L622" i="3"/>
  <c r="K622" i="3"/>
  <c r="J622" i="3"/>
  <c r="I622" i="3"/>
  <c r="M621" i="3"/>
  <c r="L621" i="3"/>
  <c r="K621" i="3"/>
  <c r="J621" i="3"/>
  <c r="I621" i="3"/>
  <c r="M620" i="3"/>
  <c r="L620" i="3"/>
  <c r="K620" i="3"/>
  <c r="J620" i="3"/>
  <c r="I620" i="3"/>
  <c r="M619" i="3"/>
  <c r="L619" i="3"/>
  <c r="K619" i="3"/>
  <c r="J619" i="3"/>
  <c r="I619" i="3"/>
  <c r="M618" i="3"/>
  <c r="L618" i="3"/>
  <c r="K618" i="3"/>
  <c r="J618" i="3"/>
  <c r="I618" i="3"/>
  <c r="M617" i="3"/>
  <c r="L617" i="3"/>
  <c r="K617" i="3"/>
  <c r="J617" i="3"/>
  <c r="I617" i="3"/>
  <c r="M616" i="3"/>
  <c r="L616" i="3"/>
  <c r="K616" i="3"/>
  <c r="J616" i="3"/>
  <c r="I616" i="3"/>
  <c r="M615" i="3"/>
  <c r="L615" i="3"/>
  <c r="K615" i="3"/>
  <c r="J615" i="3"/>
  <c r="I615" i="3"/>
  <c r="M614" i="3"/>
  <c r="L614" i="3"/>
  <c r="K614" i="3"/>
  <c r="J614" i="3"/>
  <c r="I614" i="3"/>
  <c r="M613" i="3"/>
  <c r="L613" i="3"/>
  <c r="K613" i="3"/>
  <c r="J613" i="3"/>
  <c r="I613" i="3"/>
  <c r="M612" i="3"/>
  <c r="L612" i="3"/>
  <c r="K612" i="3"/>
  <c r="J612" i="3"/>
  <c r="I612" i="3"/>
  <c r="M611" i="3"/>
  <c r="L611" i="3"/>
  <c r="K611" i="3"/>
  <c r="J611" i="3"/>
  <c r="I611" i="3"/>
  <c r="M610" i="3"/>
  <c r="L610" i="3"/>
  <c r="K610" i="3"/>
  <c r="J610" i="3"/>
  <c r="I610" i="3"/>
  <c r="M609" i="3"/>
  <c r="L609" i="3"/>
  <c r="K609" i="3"/>
  <c r="J609" i="3"/>
  <c r="I609" i="3"/>
  <c r="M608" i="3"/>
  <c r="L608" i="3"/>
  <c r="K608" i="3"/>
  <c r="J608" i="3"/>
  <c r="I608" i="3"/>
  <c r="M607" i="3"/>
  <c r="L607" i="3"/>
  <c r="K607" i="3"/>
  <c r="J607" i="3"/>
  <c r="I607" i="3"/>
  <c r="M606" i="3"/>
  <c r="L606" i="3"/>
  <c r="K606" i="3"/>
  <c r="J606" i="3"/>
  <c r="I606" i="3"/>
  <c r="M605" i="3"/>
  <c r="L605" i="3"/>
  <c r="K605" i="3"/>
  <c r="J605" i="3"/>
  <c r="I605" i="3"/>
  <c r="M604" i="3"/>
  <c r="L604" i="3"/>
  <c r="K604" i="3"/>
  <c r="J604" i="3"/>
  <c r="I604" i="3"/>
  <c r="M603" i="3"/>
  <c r="L603" i="3"/>
  <c r="K603" i="3"/>
  <c r="J603" i="3"/>
  <c r="I603" i="3"/>
  <c r="M602" i="3"/>
  <c r="L602" i="3"/>
  <c r="K602" i="3"/>
  <c r="J602" i="3"/>
  <c r="I602" i="3"/>
  <c r="M601" i="3"/>
  <c r="L601" i="3"/>
  <c r="K601" i="3"/>
  <c r="J601" i="3"/>
  <c r="I601" i="3"/>
  <c r="M600" i="3"/>
  <c r="L600" i="3"/>
  <c r="K600" i="3"/>
  <c r="J600" i="3"/>
  <c r="I600" i="3"/>
  <c r="M599" i="3"/>
  <c r="L599" i="3"/>
  <c r="K599" i="3"/>
  <c r="J599" i="3"/>
  <c r="I599" i="3"/>
  <c r="M598" i="3"/>
  <c r="L598" i="3"/>
  <c r="K598" i="3"/>
  <c r="J598" i="3"/>
  <c r="I598" i="3"/>
  <c r="M597" i="3"/>
  <c r="L597" i="3"/>
  <c r="K597" i="3"/>
  <c r="J597" i="3"/>
  <c r="I597" i="3"/>
  <c r="M596" i="3"/>
  <c r="L596" i="3"/>
  <c r="K596" i="3"/>
  <c r="J596" i="3"/>
  <c r="I596" i="3"/>
  <c r="M595" i="3"/>
  <c r="L595" i="3"/>
  <c r="K595" i="3"/>
  <c r="J595" i="3"/>
  <c r="I595" i="3"/>
  <c r="M594" i="3"/>
  <c r="L594" i="3"/>
  <c r="K594" i="3"/>
  <c r="J594" i="3"/>
  <c r="I594" i="3"/>
  <c r="M593" i="3"/>
  <c r="L593" i="3"/>
  <c r="K593" i="3"/>
  <c r="J593" i="3"/>
  <c r="I593" i="3"/>
  <c r="M592" i="3"/>
  <c r="L592" i="3"/>
  <c r="K592" i="3"/>
  <c r="J592" i="3"/>
  <c r="I592" i="3"/>
  <c r="M591" i="3"/>
  <c r="L591" i="3"/>
  <c r="K591" i="3"/>
  <c r="J591" i="3"/>
  <c r="I591" i="3"/>
  <c r="M590" i="3"/>
  <c r="L590" i="3"/>
  <c r="K590" i="3"/>
  <c r="J590" i="3"/>
  <c r="I590" i="3"/>
  <c r="M589" i="3"/>
  <c r="L589" i="3"/>
  <c r="K589" i="3"/>
  <c r="J589" i="3"/>
  <c r="I589" i="3"/>
  <c r="M588" i="3"/>
  <c r="L588" i="3"/>
  <c r="K588" i="3"/>
  <c r="J588" i="3"/>
  <c r="I588" i="3"/>
  <c r="M587" i="3"/>
  <c r="L587" i="3"/>
  <c r="K587" i="3"/>
  <c r="J587" i="3"/>
  <c r="I587" i="3"/>
  <c r="M586" i="3"/>
  <c r="L586" i="3"/>
  <c r="K586" i="3"/>
  <c r="J586" i="3"/>
  <c r="I586" i="3"/>
  <c r="M585" i="3"/>
  <c r="L585" i="3"/>
  <c r="K585" i="3"/>
  <c r="J585" i="3"/>
  <c r="I585" i="3"/>
  <c r="M584" i="3"/>
  <c r="L584" i="3"/>
  <c r="K584" i="3"/>
  <c r="J584" i="3"/>
  <c r="I584" i="3"/>
  <c r="M583" i="3"/>
  <c r="L583" i="3"/>
  <c r="K583" i="3"/>
  <c r="J583" i="3"/>
  <c r="I583" i="3"/>
  <c r="M582" i="3"/>
  <c r="L582" i="3"/>
  <c r="K582" i="3"/>
  <c r="J582" i="3"/>
  <c r="I582" i="3"/>
  <c r="M581" i="3"/>
  <c r="L581" i="3"/>
  <c r="K581" i="3"/>
  <c r="J581" i="3"/>
  <c r="I581" i="3"/>
  <c r="M580" i="3"/>
  <c r="L580" i="3"/>
  <c r="K580" i="3"/>
  <c r="J580" i="3"/>
  <c r="I580" i="3"/>
  <c r="M579" i="3"/>
  <c r="L579" i="3"/>
  <c r="K579" i="3"/>
  <c r="J579" i="3"/>
  <c r="I579" i="3"/>
  <c r="M578" i="3"/>
  <c r="L578" i="3"/>
  <c r="K578" i="3"/>
  <c r="J578" i="3"/>
  <c r="I578" i="3"/>
  <c r="M577" i="3"/>
  <c r="L577" i="3"/>
  <c r="K577" i="3"/>
  <c r="J577" i="3"/>
  <c r="I577" i="3"/>
  <c r="M576" i="3"/>
  <c r="L576" i="3"/>
  <c r="K576" i="3"/>
  <c r="J576" i="3"/>
  <c r="I576" i="3"/>
  <c r="M575" i="3"/>
  <c r="L575" i="3"/>
  <c r="K575" i="3"/>
  <c r="J575" i="3"/>
  <c r="I575" i="3"/>
  <c r="M574" i="3"/>
  <c r="L574" i="3"/>
  <c r="K574" i="3"/>
  <c r="J574" i="3"/>
  <c r="I574" i="3"/>
  <c r="M573" i="3"/>
  <c r="L573" i="3"/>
  <c r="K573" i="3"/>
  <c r="J573" i="3"/>
  <c r="I573" i="3"/>
  <c r="M572" i="3"/>
  <c r="L572" i="3"/>
  <c r="K572" i="3"/>
  <c r="J572" i="3"/>
  <c r="I572" i="3"/>
  <c r="M571" i="3"/>
  <c r="L571" i="3"/>
  <c r="K571" i="3"/>
  <c r="J571" i="3"/>
  <c r="I571" i="3"/>
  <c r="M570" i="3"/>
  <c r="L570" i="3"/>
  <c r="K570" i="3"/>
  <c r="J570" i="3"/>
  <c r="I570" i="3"/>
  <c r="M569" i="3"/>
  <c r="L569" i="3"/>
  <c r="K569" i="3"/>
  <c r="J569" i="3"/>
  <c r="I569" i="3"/>
  <c r="M568" i="3"/>
  <c r="L568" i="3"/>
  <c r="K568" i="3"/>
  <c r="J568" i="3"/>
  <c r="I568" i="3"/>
  <c r="M567" i="3"/>
  <c r="L567" i="3"/>
  <c r="K567" i="3"/>
  <c r="J567" i="3"/>
  <c r="I567" i="3"/>
  <c r="M566" i="3"/>
  <c r="L566" i="3"/>
  <c r="K566" i="3"/>
  <c r="J566" i="3"/>
  <c r="I566" i="3"/>
  <c r="M565" i="3"/>
  <c r="L565" i="3"/>
  <c r="K565" i="3"/>
  <c r="J565" i="3"/>
  <c r="I565" i="3"/>
  <c r="M564" i="3"/>
  <c r="L564" i="3"/>
  <c r="K564" i="3"/>
  <c r="J564" i="3"/>
  <c r="I564" i="3"/>
  <c r="M563" i="3"/>
  <c r="L563" i="3"/>
  <c r="K563" i="3"/>
  <c r="J563" i="3"/>
  <c r="I563" i="3"/>
  <c r="M562" i="3"/>
  <c r="L562" i="3"/>
  <c r="K562" i="3"/>
  <c r="J562" i="3"/>
  <c r="I562" i="3"/>
  <c r="M561" i="3"/>
  <c r="L561" i="3"/>
  <c r="K561" i="3"/>
  <c r="J561" i="3"/>
  <c r="I561" i="3"/>
  <c r="M560" i="3"/>
  <c r="L560" i="3"/>
  <c r="K560" i="3"/>
  <c r="J560" i="3"/>
  <c r="I560" i="3"/>
  <c r="M559" i="3"/>
  <c r="L559" i="3"/>
  <c r="K559" i="3"/>
  <c r="J559" i="3"/>
  <c r="I559" i="3"/>
  <c r="M558" i="3"/>
  <c r="L558" i="3"/>
  <c r="K558" i="3"/>
  <c r="J558" i="3"/>
  <c r="I558" i="3"/>
  <c r="M557" i="3"/>
  <c r="L557" i="3"/>
  <c r="K557" i="3"/>
  <c r="J557" i="3"/>
  <c r="I557" i="3"/>
  <c r="M556" i="3"/>
  <c r="L556" i="3"/>
  <c r="K556" i="3"/>
  <c r="J556" i="3"/>
  <c r="I556" i="3"/>
  <c r="M555" i="3"/>
  <c r="L555" i="3"/>
  <c r="K555" i="3"/>
  <c r="J555" i="3"/>
  <c r="I555" i="3"/>
  <c r="M554" i="3"/>
  <c r="L554" i="3"/>
  <c r="K554" i="3"/>
  <c r="J554" i="3"/>
  <c r="I554" i="3"/>
  <c r="M553" i="3"/>
  <c r="L553" i="3"/>
  <c r="K553" i="3"/>
  <c r="J553" i="3"/>
  <c r="I553" i="3"/>
  <c r="M552" i="3"/>
  <c r="L552" i="3"/>
  <c r="K552" i="3"/>
  <c r="J552" i="3"/>
  <c r="I552" i="3"/>
  <c r="M551" i="3"/>
  <c r="L551" i="3"/>
  <c r="K551" i="3"/>
  <c r="J551" i="3"/>
  <c r="I551" i="3"/>
  <c r="M550" i="3"/>
  <c r="L550" i="3"/>
  <c r="K550" i="3"/>
  <c r="J550" i="3"/>
  <c r="I550" i="3"/>
  <c r="M549" i="3"/>
  <c r="L549" i="3"/>
  <c r="K549" i="3"/>
  <c r="J549" i="3"/>
  <c r="I549" i="3"/>
  <c r="M548" i="3"/>
  <c r="L548" i="3"/>
  <c r="K548" i="3"/>
  <c r="J548" i="3"/>
  <c r="I548" i="3"/>
  <c r="M547" i="3"/>
  <c r="L547" i="3"/>
  <c r="K547" i="3"/>
  <c r="J547" i="3"/>
  <c r="I547" i="3"/>
  <c r="M546" i="3"/>
  <c r="L546" i="3"/>
  <c r="K546" i="3"/>
  <c r="J546" i="3"/>
  <c r="I546" i="3"/>
  <c r="M545" i="3"/>
  <c r="L545" i="3"/>
  <c r="K545" i="3"/>
  <c r="J545" i="3"/>
  <c r="I545" i="3"/>
  <c r="M544" i="3"/>
  <c r="L544" i="3"/>
  <c r="K544" i="3"/>
  <c r="J544" i="3"/>
  <c r="I544" i="3"/>
  <c r="M543" i="3"/>
  <c r="L543" i="3"/>
  <c r="K543" i="3"/>
  <c r="J543" i="3"/>
  <c r="I543" i="3"/>
  <c r="M542" i="3"/>
  <c r="L542" i="3"/>
  <c r="K542" i="3"/>
  <c r="J542" i="3"/>
  <c r="I542" i="3"/>
  <c r="M541" i="3"/>
  <c r="L541" i="3"/>
  <c r="K541" i="3"/>
  <c r="J541" i="3"/>
  <c r="I541" i="3"/>
  <c r="M540" i="3"/>
  <c r="L540" i="3"/>
  <c r="K540" i="3"/>
  <c r="J540" i="3"/>
  <c r="I540" i="3"/>
  <c r="M539" i="3"/>
  <c r="L539" i="3"/>
  <c r="K539" i="3"/>
  <c r="J539" i="3"/>
  <c r="I539" i="3"/>
  <c r="M538" i="3"/>
  <c r="L538" i="3"/>
  <c r="K538" i="3"/>
  <c r="J538" i="3"/>
  <c r="I538" i="3"/>
  <c r="M537" i="3"/>
  <c r="L537" i="3"/>
  <c r="K537" i="3"/>
  <c r="J537" i="3"/>
  <c r="I537" i="3"/>
  <c r="M536" i="3"/>
  <c r="L536" i="3"/>
  <c r="K536" i="3"/>
  <c r="J536" i="3"/>
  <c r="I536" i="3"/>
  <c r="M535" i="3"/>
  <c r="L535" i="3"/>
  <c r="K535" i="3"/>
  <c r="J535" i="3"/>
  <c r="I535" i="3"/>
  <c r="M534" i="3"/>
  <c r="L534" i="3"/>
  <c r="K534" i="3"/>
  <c r="J534" i="3"/>
  <c r="I534" i="3"/>
  <c r="M533" i="3"/>
  <c r="L533" i="3"/>
  <c r="K533" i="3"/>
  <c r="J533" i="3"/>
  <c r="I533" i="3"/>
  <c r="M532" i="3"/>
  <c r="L532" i="3"/>
  <c r="K532" i="3"/>
  <c r="J532" i="3"/>
  <c r="I532" i="3"/>
  <c r="M531" i="3"/>
  <c r="L531" i="3"/>
  <c r="K531" i="3"/>
  <c r="J531" i="3"/>
  <c r="I531" i="3"/>
  <c r="M530" i="3"/>
  <c r="L530" i="3"/>
  <c r="K530" i="3"/>
  <c r="J530" i="3"/>
  <c r="I530" i="3"/>
  <c r="M529" i="3"/>
  <c r="L529" i="3"/>
  <c r="K529" i="3"/>
  <c r="J529" i="3"/>
  <c r="I529" i="3"/>
  <c r="M528" i="3"/>
  <c r="L528" i="3"/>
  <c r="K528" i="3"/>
  <c r="J528" i="3"/>
  <c r="I528" i="3"/>
  <c r="M527" i="3"/>
  <c r="L527" i="3"/>
  <c r="K527" i="3"/>
  <c r="J527" i="3"/>
  <c r="I527" i="3"/>
  <c r="M526" i="3"/>
  <c r="L526" i="3"/>
  <c r="K526" i="3"/>
  <c r="J526" i="3"/>
  <c r="I526" i="3"/>
  <c r="M525" i="3"/>
  <c r="L525" i="3"/>
  <c r="K525" i="3"/>
  <c r="J525" i="3"/>
  <c r="I525" i="3"/>
  <c r="M524" i="3"/>
  <c r="L524" i="3"/>
  <c r="K524" i="3"/>
  <c r="J524" i="3"/>
  <c r="I524" i="3"/>
  <c r="M523" i="3"/>
  <c r="L523" i="3"/>
  <c r="K523" i="3"/>
  <c r="J523" i="3"/>
  <c r="I523" i="3"/>
  <c r="M522" i="3"/>
  <c r="L522" i="3"/>
  <c r="K522" i="3"/>
  <c r="J522" i="3"/>
  <c r="I522" i="3"/>
  <c r="M521" i="3"/>
  <c r="L521" i="3"/>
  <c r="K521" i="3"/>
  <c r="J521" i="3"/>
  <c r="I521" i="3"/>
  <c r="M520" i="3"/>
  <c r="L520" i="3"/>
  <c r="K520" i="3"/>
  <c r="J520" i="3"/>
  <c r="I520" i="3"/>
  <c r="M519" i="3"/>
  <c r="L519" i="3"/>
  <c r="K519" i="3"/>
  <c r="J519" i="3"/>
  <c r="I519" i="3"/>
  <c r="M518" i="3"/>
  <c r="L518" i="3"/>
  <c r="K518" i="3"/>
  <c r="J518" i="3"/>
  <c r="I518" i="3"/>
  <c r="M517" i="3"/>
  <c r="L517" i="3"/>
  <c r="K517" i="3"/>
  <c r="J517" i="3"/>
  <c r="I517" i="3"/>
  <c r="M516" i="3"/>
  <c r="L516" i="3"/>
  <c r="K516" i="3"/>
  <c r="J516" i="3"/>
  <c r="I516" i="3"/>
  <c r="M515" i="3"/>
  <c r="L515" i="3"/>
  <c r="K515" i="3"/>
  <c r="J515" i="3"/>
  <c r="I515" i="3"/>
  <c r="M514" i="3"/>
  <c r="L514" i="3"/>
  <c r="K514" i="3"/>
  <c r="J514" i="3"/>
  <c r="I514" i="3"/>
  <c r="M513" i="3"/>
  <c r="L513" i="3"/>
  <c r="K513" i="3"/>
  <c r="J513" i="3"/>
  <c r="I513" i="3"/>
  <c r="M512" i="3"/>
  <c r="L512" i="3"/>
  <c r="K512" i="3"/>
  <c r="J512" i="3"/>
  <c r="I512" i="3"/>
  <c r="M511" i="3"/>
  <c r="L511" i="3"/>
  <c r="K511" i="3"/>
  <c r="J511" i="3"/>
  <c r="I511" i="3"/>
  <c r="M510" i="3"/>
  <c r="L510" i="3"/>
  <c r="K510" i="3"/>
  <c r="J510" i="3"/>
  <c r="I510" i="3"/>
  <c r="M509" i="3"/>
  <c r="L509" i="3"/>
  <c r="K509" i="3"/>
  <c r="J509" i="3"/>
  <c r="I509" i="3"/>
  <c r="M508" i="3"/>
  <c r="L508" i="3"/>
  <c r="K508" i="3"/>
  <c r="J508" i="3"/>
  <c r="I508" i="3"/>
  <c r="M507" i="3"/>
  <c r="L507" i="3"/>
  <c r="K507" i="3"/>
  <c r="J507" i="3"/>
  <c r="I507" i="3"/>
  <c r="M506" i="3"/>
  <c r="L506" i="3"/>
  <c r="K506" i="3"/>
  <c r="J506" i="3"/>
  <c r="I506" i="3"/>
  <c r="M505" i="3"/>
  <c r="L505" i="3"/>
  <c r="K505" i="3"/>
  <c r="J505" i="3"/>
  <c r="I505" i="3"/>
  <c r="M504" i="3"/>
  <c r="L504" i="3"/>
  <c r="K504" i="3"/>
  <c r="J504" i="3"/>
  <c r="I504" i="3"/>
  <c r="M503" i="3"/>
  <c r="L503" i="3"/>
  <c r="K503" i="3"/>
  <c r="J503" i="3"/>
  <c r="I503" i="3"/>
  <c r="M502" i="3"/>
  <c r="L502" i="3"/>
  <c r="K502" i="3"/>
  <c r="J502" i="3"/>
  <c r="I502" i="3"/>
  <c r="M501" i="3"/>
  <c r="L501" i="3"/>
  <c r="K501" i="3"/>
  <c r="J501" i="3"/>
  <c r="I501" i="3"/>
  <c r="M500" i="3"/>
  <c r="L500" i="3"/>
  <c r="K500" i="3"/>
  <c r="J500" i="3"/>
  <c r="I500" i="3"/>
  <c r="M499" i="3"/>
  <c r="L499" i="3"/>
  <c r="K499" i="3"/>
  <c r="J499" i="3"/>
  <c r="I499" i="3"/>
  <c r="M498" i="3"/>
  <c r="L498" i="3"/>
  <c r="K498" i="3"/>
  <c r="J498" i="3"/>
  <c r="I498" i="3"/>
  <c r="M497" i="3"/>
  <c r="L497" i="3"/>
  <c r="K497" i="3"/>
  <c r="J497" i="3"/>
  <c r="I497" i="3"/>
  <c r="M496" i="3"/>
  <c r="L496" i="3"/>
  <c r="K496" i="3"/>
  <c r="J496" i="3"/>
  <c r="I496" i="3"/>
  <c r="M495" i="3"/>
  <c r="L495" i="3"/>
  <c r="K495" i="3"/>
  <c r="J495" i="3"/>
  <c r="I495" i="3"/>
  <c r="M494" i="3"/>
  <c r="L494" i="3"/>
  <c r="K494" i="3"/>
  <c r="J494" i="3"/>
  <c r="I494" i="3"/>
  <c r="M493" i="3"/>
  <c r="L493" i="3"/>
  <c r="K493" i="3"/>
  <c r="J493" i="3"/>
  <c r="I493" i="3"/>
  <c r="M492" i="3"/>
  <c r="L492" i="3"/>
  <c r="K492" i="3"/>
  <c r="J492" i="3"/>
  <c r="I492" i="3"/>
  <c r="M491" i="3"/>
  <c r="L491" i="3"/>
  <c r="K491" i="3"/>
  <c r="J491" i="3"/>
  <c r="I491" i="3"/>
  <c r="M490" i="3"/>
  <c r="L490" i="3"/>
  <c r="K490" i="3"/>
  <c r="J490" i="3"/>
  <c r="I490" i="3"/>
  <c r="M489" i="3"/>
  <c r="L489" i="3"/>
  <c r="K489" i="3"/>
  <c r="J489" i="3"/>
  <c r="I489" i="3"/>
  <c r="M488" i="3"/>
  <c r="L488" i="3"/>
  <c r="K488" i="3"/>
  <c r="J488" i="3"/>
  <c r="I488" i="3"/>
  <c r="M487" i="3"/>
  <c r="L487" i="3"/>
  <c r="K487" i="3"/>
  <c r="J487" i="3"/>
  <c r="I487" i="3"/>
  <c r="M486" i="3"/>
  <c r="L486" i="3"/>
  <c r="K486" i="3"/>
  <c r="J486" i="3"/>
  <c r="I486" i="3"/>
  <c r="M485" i="3"/>
  <c r="L485" i="3"/>
  <c r="K485" i="3"/>
  <c r="J485" i="3"/>
  <c r="I485" i="3"/>
  <c r="M484" i="3"/>
  <c r="L484" i="3"/>
  <c r="K484" i="3"/>
  <c r="J484" i="3"/>
  <c r="I484" i="3"/>
  <c r="M483" i="3"/>
  <c r="L483" i="3"/>
  <c r="K483" i="3"/>
  <c r="J483" i="3"/>
  <c r="I483" i="3"/>
  <c r="M482" i="3"/>
  <c r="L482" i="3"/>
  <c r="K482" i="3"/>
  <c r="J482" i="3"/>
  <c r="I482" i="3"/>
  <c r="M481" i="3"/>
  <c r="L481" i="3"/>
  <c r="K481" i="3"/>
  <c r="J481" i="3"/>
  <c r="I481" i="3"/>
  <c r="M480" i="3"/>
  <c r="L480" i="3"/>
  <c r="K480" i="3"/>
  <c r="J480" i="3"/>
  <c r="I480" i="3"/>
  <c r="M479" i="3"/>
  <c r="L479" i="3"/>
  <c r="K479" i="3"/>
  <c r="J479" i="3"/>
  <c r="I479" i="3"/>
  <c r="M478" i="3"/>
  <c r="L478" i="3"/>
  <c r="K478" i="3"/>
  <c r="J478" i="3"/>
  <c r="I478" i="3"/>
  <c r="M477" i="3"/>
  <c r="L477" i="3"/>
  <c r="K477" i="3"/>
  <c r="J477" i="3"/>
  <c r="I477" i="3"/>
  <c r="M476" i="3"/>
  <c r="L476" i="3"/>
  <c r="K476" i="3"/>
  <c r="J476" i="3"/>
  <c r="I476" i="3"/>
  <c r="M475" i="3"/>
  <c r="L475" i="3"/>
  <c r="K475" i="3"/>
  <c r="J475" i="3"/>
  <c r="I475" i="3"/>
  <c r="M474" i="3"/>
  <c r="L474" i="3"/>
  <c r="K474" i="3"/>
  <c r="J474" i="3"/>
  <c r="I474" i="3"/>
  <c r="M473" i="3"/>
  <c r="L473" i="3"/>
  <c r="K473" i="3"/>
  <c r="J473" i="3"/>
  <c r="I473" i="3"/>
  <c r="M472" i="3"/>
  <c r="L472" i="3"/>
  <c r="K472" i="3"/>
  <c r="J472" i="3"/>
  <c r="I472" i="3"/>
  <c r="M471" i="3"/>
  <c r="L471" i="3"/>
  <c r="K471" i="3"/>
  <c r="J471" i="3"/>
  <c r="I471" i="3"/>
  <c r="M470" i="3"/>
  <c r="L470" i="3"/>
  <c r="K470" i="3"/>
  <c r="J470" i="3"/>
  <c r="I470" i="3"/>
  <c r="M469" i="3"/>
  <c r="L469" i="3"/>
  <c r="K469" i="3"/>
  <c r="J469" i="3"/>
  <c r="I469" i="3"/>
  <c r="M468" i="3"/>
  <c r="L468" i="3"/>
  <c r="K468" i="3"/>
  <c r="J468" i="3"/>
  <c r="I468" i="3"/>
  <c r="M467" i="3"/>
  <c r="L467" i="3"/>
  <c r="K467" i="3"/>
  <c r="J467" i="3"/>
  <c r="I467" i="3"/>
  <c r="M466" i="3"/>
  <c r="L466" i="3"/>
  <c r="K466" i="3"/>
  <c r="J466" i="3"/>
  <c r="I466" i="3"/>
  <c r="M465" i="3"/>
  <c r="L465" i="3"/>
  <c r="K465" i="3"/>
  <c r="J465" i="3"/>
  <c r="I465" i="3"/>
  <c r="M464" i="3"/>
  <c r="L464" i="3"/>
  <c r="K464" i="3"/>
  <c r="J464" i="3"/>
  <c r="I464" i="3"/>
  <c r="M463" i="3"/>
  <c r="L463" i="3"/>
  <c r="K463" i="3"/>
  <c r="J463" i="3"/>
  <c r="I463" i="3"/>
  <c r="M462" i="3"/>
  <c r="L462" i="3"/>
  <c r="K462" i="3"/>
  <c r="J462" i="3"/>
  <c r="I462" i="3"/>
  <c r="M461" i="3"/>
  <c r="L461" i="3"/>
  <c r="K461" i="3"/>
  <c r="J461" i="3"/>
  <c r="I461" i="3"/>
  <c r="M460" i="3"/>
  <c r="L460" i="3"/>
  <c r="K460" i="3"/>
  <c r="J460" i="3"/>
  <c r="I460" i="3"/>
  <c r="M459" i="3"/>
  <c r="L459" i="3"/>
  <c r="K459" i="3"/>
  <c r="J459" i="3"/>
  <c r="I459" i="3"/>
  <c r="M458" i="3"/>
  <c r="L458" i="3"/>
  <c r="K458" i="3"/>
  <c r="J458" i="3"/>
  <c r="I458" i="3"/>
  <c r="M457" i="3"/>
  <c r="L457" i="3"/>
  <c r="K457" i="3"/>
  <c r="J457" i="3"/>
  <c r="I457" i="3"/>
  <c r="M456" i="3"/>
  <c r="L456" i="3"/>
  <c r="K456" i="3"/>
  <c r="J456" i="3"/>
  <c r="I456" i="3"/>
  <c r="M455" i="3"/>
  <c r="L455" i="3"/>
  <c r="K455" i="3"/>
  <c r="J455" i="3"/>
  <c r="I455" i="3"/>
  <c r="M454" i="3"/>
  <c r="L454" i="3"/>
  <c r="K454" i="3"/>
  <c r="J454" i="3"/>
  <c r="I454" i="3"/>
  <c r="M453" i="3"/>
  <c r="L453" i="3"/>
  <c r="K453" i="3"/>
  <c r="J453" i="3"/>
  <c r="I453" i="3"/>
  <c r="M452" i="3"/>
  <c r="L452" i="3"/>
  <c r="K452" i="3"/>
  <c r="J452" i="3"/>
  <c r="I452" i="3"/>
  <c r="M451" i="3"/>
  <c r="L451" i="3"/>
  <c r="K451" i="3"/>
  <c r="J451" i="3"/>
  <c r="I451" i="3"/>
  <c r="M450" i="3"/>
  <c r="L450" i="3"/>
  <c r="K450" i="3"/>
  <c r="J450" i="3"/>
  <c r="I450" i="3"/>
  <c r="M449" i="3"/>
  <c r="L449" i="3"/>
  <c r="K449" i="3"/>
  <c r="J449" i="3"/>
  <c r="I449" i="3"/>
  <c r="M448" i="3"/>
  <c r="L448" i="3"/>
  <c r="K448" i="3"/>
  <c r="J448" i="3"/>
  <c r="I448" i="3"/>
  <c r="M447" i="3"/>
  <c r="L447" i="3"/>
  <c r="K447" i="3"/>
  <c r="J447" i="3"/>
  <c r="I447" i="3"/>
  <c r="M446" i="3"/>
  <c r="L446" i="3"/>
  <c r="K446" i="3"/>
  <c r="J446" i="3"/>
  <c r="I446" i="3"/>
  <c r="M445" i="3"/>
  <c r="L445" i="3"/>
  <c r="K445" i="3"/>
  <c r="J445" i="3"/>
  <c r="I445" i="3"/>
  <c r="M444" i="3"/>
  <c r="L444" i="3"/>
  <c r="K444" i="3"/>
  <c r="J444" i="3"/>
  <c r="I444" i="3"/>
  <c r="M443" i="3"/>
  <c r="L443" i="3"/>
  <c r="K443" i="3"/>
  <c r="J443" i="3"/>
  <c r="I443" i="3"/>
  <c r="M442" i="3"/>
  <c r="L442" i="3"/>
  <c r="K442" i="3"/>
  <c r="J442" i="3"/>
  <c r="I442" i="3"/>
  <c r="M441" i="3"/>
  <c r="L441" i="3"/>
  <c r="K441" i="3"/>
  <c r="J441" i="3"/>
  <c r="I441" i="3"/>
  <c r="M440" i="3"/>
  <c r="L440" i="3"/>
  <c r="K440" i="3"/>
  <c r="J440" i="3"/>
  <c r="I440" i="3"/>
  <c r="M439" i="3"/>
  <c r="L439" i="3"/>
  <c r="K439" i="3"/>
  <c r="J439" i="3"/>
  <c r="I439" i="3"/>
  <c r="M438" i="3"/>
  <c r="L438" i="3"/>
  <c r="K438" i="3"/>
  <c r="J438" i="3"/>
  <c r="I438" i="3"/>
  <c r="M437" i="3"/>
  <c r="L437" i="3"/>
  <c r="K437" i="3"/>
  <c r="J437" i="3"/>
  <c r="I437" i="3"/>
  <c r="M436" i="3"/>
  <c r="L436" i="3"/>
  <c r="K436" i="3"/>
  <c r="J436" i="3"/>
  <c r="I436" i="3"/>
  <c r="M435" i="3"/>
  <c r="L435" i="3"/>
  <c r="K435" i="3"/>
  <c r="J435" i="3"/>
  <c r="I435" i="3"/>
  <c r="M434" i="3"/>
  <c r="L434" i="3"/>
  <c r="K434" i="3"/>
  <c r="J434" i="3"/>
  <c r="I434" i="3"/>
  <c r="M433" i="3"/>
  <c r="L433" i="3"/>
  <c r="K433" i="3"/>
  <c r="J433" i="3"/>
  <c r="I433" i="3"/>
  <c r="M432" i="3"/>
  <c r="L432" i="3"/>
  <c r="K432" i="3"/>
  <c r="J432" i="3"/>
  <c r="I432" i="3"/>
  <c r="M431" i="3"/>
  <c r="L431" i="3"/>
  <c r="K431" i="3"/>
  <c r="J431" i="3"/>
  <c r="I431" i="3"/>
  <c r="M430" i="3"/>
  <c r="L430" i="3"/>
  <c r="K430" i="3"/>
  <c r="J430" i="3"/>
  <c r="I430" i="3"/>
  <c r="M429" i="3"/>
  <c r="L429" i="3"/>
  <c r="K429" i="3"/>
  <c r="J429" i="3"/>
  <c r="I429" i="3"/>
  <c r="M428" i="3"/>
  <c r="L428" i="3"/>
  <c r="K428" i="3"/>
  <c r="J428" i="3"/>
  <c r="I428" i="3"/>
  <c r="M427" i="3"/>
  <c r="L427" i="3"/>
  <c r="K427" i="3"/>
  <c r="J427" i="3"/>
  <c r="I427" i="3"/>
  <c r="M426" i="3"/>
  <c r="L426" i="3"/>
  <c r="K426" i="3"/>
  <c r="J426" i="3"/>
  <c r="I426" i="3"/>
  <c r="M425" i="3"/>
  <c r="L425" i="3"/>
  <c r="K425" i="3"/>
  <c r="J425" i="3"/>
  <c r="I425" i="3"/>
  <c r="M424" i="3"/>
  <c r="L424" i="3"/>
  <c r="K424" i="3"/>
  <c r="J424" i="3"/>
  <c r="I424" i="3"/>
  <c r="M423" i="3"/>
  <c r="L423" i="3"/>
  <c r="K423" i="3"/>
  <c r="J423" i="3"/>
  <c r="I423" i="3"/>
  <c r="M422" i="3"/>
  <c r="L422" i="3"/>
  <c r="K422" i="3"/>
  <c r="J422" i="3"/>
  <c r="I422" i="3"/>
  <c r="M421" i="3"/>
  <c r="L421" i="3"/>
  <c r="K421" i="3"/>
  <c r="J421" i="3"/>
  <c r="I421" i="3"/>
  <c r="M420" i="3"/>
  <c r="L420" i="3"/>
  <c r="K420" i="3"/>
  <c r="J420" i="3"/>
  <c r="I420" i="3"/>
  <c r="M419" i="3"/>
  <c r="L419" i="3"/>
  <c r="K419" i="3"/>
  <c r="J419" i="3"/>
  <c r="I419" i="3"/>
  <c r="M418" i="3"/>
  <c r="L418" i="3"/>
  <c r="K418" i="3"/>
  <c r="J418" i="3"/>
  <c r="I418" i="3"/>
  <c r="M417" i="3"/>
  <c r="L417" i="3"/>
  <c r="K417" i="3"/>
  <c r="J417" i="3"/>
  <c r="I417" i="3"/>
  <c r="M416" i="3"/>
  <c r="L416" i="3"/>
  <c r="K416" i="3"/>
  <c r="J416" i="3"/>
  <c r="I416" i="3"/>
  <c r="M415" i="3"/>
  <c r="L415" i="3"/>
  <c r="K415" i="3"/>
  <c r="J415" i="3"/>
  <c r="I415" i="3"/>
  <c r="M414" i="3"/>
  <c r="L414" i="3"/>
  <c r="K414" i="3"/>
  <c r="J414" i="3"/>
  <c r="I414" i="3"/>
  <c r="M413" i="3"/>
  <c r="L413" i="3"/>
  <c r="K413" i="3"/>
  <c r="J413" i="3"/>
  <c r="I413" i="3"/>
  <c r="M412" i="3"/>
  <c r="L412" i="3"/>
  <c r="K412" i="3"/>
  <c r="J412" i="3"/>
  <c r="I412" i="3"/>
  <c r="M411" i="3"/>
  <c r="L411" i="3"/>
  <c r="K411" i="3"/>
  <c r="J411" i="3"/>
  <c r="I411" i="3"/>
  <c r="M410" i="3"/>
  <c r="L410" i="3"/>
  <c r="K410" i="3"/>
  <c r="J410" i="3"/>
  <c r="I410" i="3"/>
  <c r="M409" i="3"/>
  <c r="L409" i="3"/>
  <c r="K409" i="3"/>
  <c r="J409" i="3"/>
  <c r="I409" i="3"/>
  <c r="M408" i="3"/>
  <c r="L408" i="3"/>
  <c r="K408" i="3"/>
  <c r="J408" i="3"/>
  <c r="I408" i="3"/>
  <c r="M407" i="3"/>
  <c r="L407" i="3"/>
  <c r="K407" i="3"/>
  <c r="J407" i="3"/>
  <c r="I407" i="3"/>
  <c r="M406" i="3"/>
  <c r="L406" i="3"/>
  <c r="K406" i="3"/>
  <c r="J406" i="3"/>
  <c r="I406" i="3"/>
  <c r="M405" i="3"/>
  <c r="L405" i="3"/>
  <c r="K405" i="3"/>
  <c r="J405" i="3"/>
  <c r="I405" i="3"/>
  <c r="M404" i="3"/>
  <c r="L404" i="3"/>
  <c r="K404" i="3"/>
  <c r="J404" i="3"/>
  <c r="I404" i="3"/>
  <c r="M403" i="3"/>
  <c r="L403" i="3"/>
  <c r="K403" i="3"/>
  <c r="J403" i="3"/>
  <c r="I403" i="3"/>
  <c r="M402" i="3"/>
  <c r="L402" i="3"/>
  <c r="K402" i="3"/>
  <c r="J402" i="3"/>
  <c r="I402" i="3"/>
  <c r="M401" i="3"/>
  <c r="L401" i="3"/>
  <c r="K401" i="3"/>
  <c r="J401" i="3"/>
  <c r="I401" i="3"/>
  <c r="M400" i="3"/>
  <c r="L400" i="3"/>
  <c r="K400" i="3"/>
  <c r="J400" i="3"/>
  <c r="I400" i="3"/>
  <c r="M399" i="3"/>
  <c r="L399" i="3"/>
  <c r="K399" i="3"/>
  <c r="J399" i="3"/>
  <c r="I399" i="3"/>
  <c r="M398" i="3"/>
  <c r="L398" i="3"/>
  <c r="K398" i="3"/>
  <c r="J398" i="3"/>
  <c r="I398" i="3"/>
  <c r="M397" i="3"/>
  <c r="L397" i="3"/>
  <c r="K397" i="3"/>
  <c r="J397" i="3"/>
  <c r="I397" i="3"/>
  <c r="M396" i="3"/>
  <c r="L396" i="3"/>
  <c r="K396" i="3"/>
  <c r="J396" i="3"/>
  <c r="I396" i="3"/>
  <c r="M395" i="3"/>
  <c r="L395" i="3"/>
  <c r="K395" i="3"/>
  <c r="J395" i="3"/>
  <c r="I395" i="3"/>
  <c r="M394" i="3"/>
  <c r="L394" i="3"/>
  <c r="K394" i="3"/>
  <c r="J394" i="3"/>
  <c r="I394" i="3"/>
  <c r="M393" i="3"/>
  <c r="L393" i="3"/>
  <c r="K393" i="3"/>
  <c r="J393" i="3"/>
  <c r="I393" i="3"/>
  <c r="M392" i="3"/>
  <c r="L392" i="3"/>
  <c r="K392" i="3"/>
  <c r="J392" i="3"/>
  <c r="I392" i="3"/>
  <c r="M391" i="3"/>
  <c r="L391" i="3"/>
  <c r="K391" i="3"/>
  <c r="J391" i="3"/>
  <c r="I391" i="3"/>
  <c r="M390" i="3"/>
  <c r="L390" i="3"/>
  <c r="K390" i="3"/>
  <c r="J390" i="3"/>
  <c r="I390" i="3"/>
  <c r="M389" i="3"/>
  <c r="L389" i="3"/>
  <c r="K389" i="3"/>
  <c r="J389" i="3"/>
  <c r="I389" i="3"/>
  <c r="M388" i="3"/>
  <c r="L388" i="3"/>
  <c r="K388" i="3"/>
  <c r="J388" i="3"/>
  <c r="I388" i="3"/>
  <c r="M387" i="3"/>
  <c r="L387" i="3"/>
  <c r="K387" i="3"/>
  <c r="J387" i="3"/>
  <c r="I387" i="3"/>
  <c r="M386" i="3"/>
  <c r="L386" i="3"/>
  <c r="K386" i="3"/>
  <c r="J386" i="3"/>
  <c r="I386" i="3"/>
  <c r="M385" i="3"/>
  <c r="L385" i="3"/>
  <c r="K385" i="3"/>
  <c r="J385" i="3"/>
  <c r="I385" i="3"/>
  <c r="M384" i="3"/>
  <c r="L384" i="3"/>
  <c r="K384" i="3"/>
  <c r="J384" i="3"/>
  <c r="I384" i="3"/>
  <c r="M383" i="3"/>
  <c r="L383" i="3"/>
  <c r="K383" i="3"/>
  <c r="J383" i="3"/>
  <c r="I383" i="3"/>
  <c r="M382" i="3"/>
  <c r="L382" i="3"/>
  <c r="K382" i="3"/>
  <c r="J382" i="3"/>
  <c r="I382" i="3"/>
  <c r="M381" i="3"/>
  <c r="L381" i="3"/>
  <c r="K381" i="3"/>
  <c r="J381" i="3"/>
  <c r="I381" i="3"/>
  <c r="M380" i="3"/>
  <c r="L380" i="3"/>
  <c r="K380" i="3"/>
  <c r="J380" i="3"/>
  <c r="I380" i="3"/>
  <c r="M379" i="3"/>
  <c r="L379" i="3"/>
  <c r="K379" i="3"/>
  <c r="J379" i="3"/>
  <c r="I379" i="3"/>
  <c r="M378" i="3"/>
  <c r="L378" i="3"/>
  <c r="K378" i="3"/>
  <c r="J378" i="3"/>
  <c r="I378" i="3"/>
  <c r="M377" i="3"/>
  <c r="L377" i="3"/>
  <c r="K377" i="3"/>
  <c r="J377" i="3"/>
  <c r="I377" i="3"/>
  <c r="M376" i="3"/>
  <c r="L376" i="3"/>
  <c r="K376" i="3"/>
  <c r="J376" i="3"/>
  <c r="I376" i="3"/>
  <c r="M375" i="3"/>
  <c r="L375" i="3"/>
  <c r="K375" i="3"/>
  <c r="J375" i="3"/>
  <c r="I375" i="3"/>
  <c r="M374" i="3"/>
  <c r="L374" i="3"/>
  <c r="K374" i="3"/>
  <c r="J374" i="3"/>
  <c r="I374" i="3"/>
  <c r="M373" i="3"/>
  <c r="L373" i="3"/>
  <c r="K373" i="3"/>
  <c r="J373" i="3"/>
  <c r="I373" i="3"/>
  <c r="M372" i="3"/>
  <c r="L372" i="3"/>
  <c r="K372" i="3"/>
  <c r="J372" i="3"/>
  <c r="I372" i="3"/>
  <c r="M371" i="3"/>
  <c r="L371" i="3"/>
  <c r="K371" i="3"/>
  <c r="J371" i="3"/>
  <c r="I371" i="3"/>
  <c r="M370" i="3"/>
  <c r="L370" i="3"/>
  <c r="K370" i="3"/>
  <c r="J370" i="3"/>
  <c r="I370" i="3"/>
  <c r="M369" i="3"/>
  <c r="L369" i="3"/>
  <c r="K369" i="3"/>
  <c r="J369" i="3"/>
  <c r="I369" i="3"/>
  <c r="M368" i="3"/>
  <c r="L368" i="3"/>
  <c r="K368" i="3"/>
  <c r="J368" i="3"/>
  <c r="I368" i="3"/>
  <c r="M367" i="3"/>
  <c r="L367" i="3"/>
  <c r="K367" i="3"/>
  <c r="J367" i="3"/>
  <c r="I367" i="3"/>
  <c r="M366" i="3"/>
  <c r="L366" i="3"/>
  <c r="K366" i="3"/>
  <c r="J366" i="3"/>
  <c r="I366" i="3"/>
  <c r="M365" i="3"/>
  <c r="L365" i="3"/>
  <c r="K365" i="3"/>
  <c r="J365" i="3"/>
  <c r="I365" i="3"/>
  <c r="M364" i="3"/>
  <c r="L364" i="3"/>
  <c r="K364" i="3"/>
  <c r="J364" i="3"/>
  <c r="I364" i="3"/>
  <c r="M363" i="3"/>
  <c r="L363" i="3"/>
  <c r="K363" i="3"/>
  <c r="J363" i="3"/>
  <c r="I363" i="3"/>
  <c r="M362" i="3"/>
  <c r="L362" i="3"/>
  <c r="K362" i="3"/>
  <c r="J362" i="3"/>
  <c r="I362" i="3"/>
  <c r="M361" i="3"/>
  <c r="L361" i="3"/>
  <c r="K361" i="3"/>
  <c r="J361" i="3"/>
  <c r="I361" i="3"/>
  <c r="M360" i="3"/>
  <c r="L360" i="3"/>
  <c r="K360" i="3"/>
  <c r="J360" i="3"/>
  <c r="I360" i="3"/>
  <c r="M359" i="3"/>
  <c r="L359" i="3"/>
  <c r="K359" i="3"/>
  <c r="J359" i="3"/>
  <c r="I359" i="3"/>
  <c r="M358" i="3"/>
  <c r="L358" i="3"/>
  <c r="K358" i="3"/>
  <c r="J358" i="3"/>
  <c r="I358" i="3"/>
  <c r="M357" i="3"/>
  <c r="L357" i="3"/>
  <c r="K357" i="3"/>
  <c r="J357" i="3"/>
  <c r="I357" i="3"/>
  <c r="M356" i="3"/>
  <c r="L356" i="3"/>
  <c r="K356" i="3"/>
  <c r="J356" i="3"/>
  <c r="I356" i="3"/>
  <c r="M355" i="3"/>
  <c r="L355" i="3"/>
  <c r="K355" i="3"/>
  <c r="J355" i="3"/>
  <c r="I355" i="3"/>
  <c r="M354" i="3"/>
  <c r="L354" i="3"/>
  <c r="K354" i="3"/>
  <c r="J354" i="3"/>
  <c r="I354" i="3"/>
  <c r="M353" i="3"/>
  <c r="L353" i="3"/>
  <c r="K353" i="3"/>
  <c r="J353" i="3"/>
  <c r="I353" i="3"/>
  <c r="M352" i="3"/>
  <c r="L352" i="3"/>
  <c r="K352" i="3"/>
  <c r="J352" i="3"/>
  <c r="I352" i="3"/>
  <c r="M351" i="3"/>
  <c r="L351" i="3"/>
  <c r="K351" i="3"/>
  <c r="J351" i="3"/>
  <c r="I351" i="3"/>
  <c r="M350" i="3"/>
  <c r="L350" i="3"/>
  <c r="K350" i="3"/>
  <c r="J350" i="3"/>
  <c r="I350" i="3"/>
  <c r="M349" i="3"/>
  <c r="L349" i="3"/>
  <c r="K349" i="3"/>
  <c r="J349" i="3"/>
  <c r="I349" i="3"/>
  <c r="M348" i="3"/>
  <c r="L348" i="3"/>
  <c r="K348" i="3"/>
  <c r="J348" i="3"/>
  <c r="I348" i="3"/>
  <c r="M347" i="3"/>
  <c r="L347" i="3"/>
  <c r="K347" i="3"/>
  <c r="J347" i="3"/>
  <c r="I347" i="3"/>
  <c r="M346" i="3"/>
  <c r="L346" i="3"/>
  <c r="K346" i="3"/>
  <c r="J346" i="3"/>
  <c r="I346" i="3"/>
  <c r="M345" i="3"/>
  <c r="L345" i="3"/>
  <c r="K345" i="3"/>
  <c r="J345" i="3"/>
  <c r="I345" i="3"/>
  <c r="M344" i="3"/>
  <c r="L344" i="3"/>
  <c r="K344" i="3"/>
  <c r="J344" i="3"/>
  <c r="I344" i="3"/>
  <c r="M343" i="3"/>
  <c r="L343" i="3"/>
  <c r="K343" i="3"/>
  <c r="J343" i="3"/>
  <c r="I343" i="3"/>
  <c r="M342" i="3"/>
  <c r="L342" i="3"/>
  <c r="K342" i="3"/>
  <c r="J342" i="3"/>
  <c r="I342" i="3"/>
  <c r="M341" i="3"/>
  <c r="L341" i="3"/>
  <c r="K341" i="3"/>
  <c r="J341" i="3"/>
  <c r="I341" i="3"/>
  <c r="M340" i="3"/>
  <c r="L340" i="3"/>
  <c r="K340" i="3"/>
  <c r="J340" i="3"/>
  <c r="I340" i="3"/>
  <c r="M339" i="3"/>
  <c r="L339" i="3"/>
  <c r="K339" i="3"/>
  <c r="J339" i="3"/>
  <c r="I339" i="3"/>
  <c r="M338" i="3"/>
  <c r="L338" i="3"/>
  <c r="K338" i="3"/>
  <c r="J338" i="3"/>
  <c r="I338" i="3"/>
  <c r="M337" i="3"/>
  <c r="L337" i="3"/>
  <c r="K337" i="3"/>
  <c r="J337" i="3"/>
  <c r="I337" i="3"/>
  <c r="M336" i="3"/>
  <c r="L336" i="3"/>
  <c r="K336" i="3"/>
  <c r="J336" i="3"/>
  <c r="I336" i="3"/>
  <c r="M335" i="3"/>
  <c r="L335" i="3"/>
  <c r="K335" i="3"/>
  <c r="J335" i="3"/>
  <c r="I335" i="3"/>
  <c r="M334" i="3"/>
  <c r="L334" i="3"/>
  <c r="K334" i="3"/>
  <c r="J334" i="3"/>
  <c r="I334" i="3"/>
  <c r="M333" i="3"/>
  <c r="L333" i="3"/>
  <c r="K333" i="3"/>
  <c r="J333" i="3"/>
  <c r="I333" i="3"/>
  <c r="M332" i="3"/>
  <c r="L332" i="3"/>
  <c r="K332" i="3"/>
  <c r="J332" i="3"/>
  <c r="I332" i="3"/>
  <c r="M331" i="3"/>
  <c r="L331" i="3"/>
  <c r="K331" i="3"/>
  <c r="J331" i="3"/>
  <c r="I331" i="3"/>
  <c r="M330" i="3"/>
  <c r="L330" i="3"/>
  <c r="K330" i="3"/>
  <c r="J330" i="3"/>
  <c r="I330" i="3"/>
  <c r="M329" i="3"/>
  <c r="L329" i="3"/>
  <c r="K329" i="3"/>
  <c r="J329" i="3"/>
  <c r="I329" i="3"/>
  <c r="M328" i="3"/>
  <c r="L328" i="3"/>
  <c r="K328" i="3"/>
  <c r="J328" i="3"/>
  <c r="I328" i="3"/>
  <c r="M327" i="3"/>
  <c r="L327" i="3"/>
  <c r="K327" i="3"/>
  <c r="J327" i="3"/>
  <c r="I327" i="3"/>
  <c r="M326" i="3"/>
  <c r="L326" i="3"/>
  <c r="K326" i="3"/>
  <c r="J326" i="3"/>
  <c r="I326" i="3"/>
  <c r="M325" i="3"/>
  <c r="L325" i="3"/>
  <c r="K325" i="3"/>
  <c r="J325" i="3"/>
  <c r="I325" i="3"/>
  <c r="M324" i="3"/>
  <c r="L324" i="3"/>
  <c r="K324" i="3"/>
  <c r="J324" i="3"/>
  <c r="I324" i="3"/>
  <c r="M323" i="3"/>
  <c r="L323" i="3"/>
  <c r="K323" i="3"/>
  <c r="J323" i="3"/>
  <c r="I323" i="3"/>
  <c r="M322" i="3"/>
  <c r="L322" i="3"/>
  <c r="K322" i="3"/>
  <c r="J322" i="3"/>
  <c r="I322" i="3"/>
  <c r="M321" i="3"/>
  <c r="L321" i="3"/>
  <c r="K321" i="3"/>
  <c r="J321" i="3"/>
  <c r="I321" i="3"/>
  <c r="M320" i="3"/>
  <c r="L320" i="3"/>
  <c r="K320" i="3"/>
  <c r="J320" i="3"/>
  <c r="I320" i="3"/>
  <c r="M319" i="3"/>
  <c r="L319" i="3"/>
  <c r="K319" i="3"/>
  <c r="J319" i="3"/>
  <c r="I319" i="3"/>
  <c r="M318" i="3"/>
  <c r="L318" i="3"/>
  <c r="K318" i="3"/>
  <c r="J318" i="3"/>
  <c r="I318" i="3"/>
  <c r="M317" i="3"/>
  <c r="L317" i="3"/>
  <c r="K317" i="3"/>
  <c r="J317" i="3"/>
  <c r="I317" i="3"/>
  <c r="M316" i="3"/>
  <c r="L316" i="3"/>
  <c r="K316" i="3"/>
  <c r="J316" i="3"/>
  <c r="I316" i="3"/>
  <c r="M315" i="3"/>
  <c r="L315" i="3"/>
  <c r="K315" i="3"/>
  <c r="J315" i="3"/>
  <c r="I315" i="3"/>
  <c r="M314" i="3"/>
  <c r="L314" i="3"/>
  <c r="K314" i="3"/>
  <c r="J314" i="3"/>
  <c r="I314" i="3"/>
  <c r="M313" i="3"/>
  <c r="L313" i="3"/>
  <c r="K313" i="3"/>
  <c r="J313" i="3"/>
  <c r="I313" i="3"/>
  <c r="M312" i="3"/>
  <c r="L312" i="3"/>
  <c r="K312" i="3"/>
  <c r="J312" i="3"/>
  <c r="I312" i="3"/>
  <c r="M311" i="3"/>
  <c r="L311" i="3"/>
  <c r="K311" i="3"/>
  <c r="J311" i="3"/>
  <c r="I311" i="3"/>
  <c r="M310" i="3"/>
  <c r="L310" i="3"/>
  <c r="K310" i="3"/>
  <c r="J310" i="3"/>
  <c r="I310" i="3"/>
  <c r="M309" i="3"/>
  <c r="L309" i="3"/>
  <c r="K309" i="3"/>
  <c r="J309" i="3"/>
  <c r="I309" i="3"/>
  <c r="M308" i="3"/>
  <c r="L308" i="3"/>
  <c r="K308" i="3"/>
  <c r="J308" i="3"/>
  <c r="I308" i="3"/>
  <c r="M307" i="3"/>
  <c r="L307" i="3"/>
  <c r="K307" i="3"/>
  <c r="J307" i="3"/>
  <c r="I307" i="3"/>
  <c r="M306" i="3"/>
  <c r="L306" i="3"/>
  <c r="K306" i="3"/>
  <c r="J306" i="3"/>
  <c r="I306" i="3"/>
  <c r="M305" i="3"/>
  <c r="L305" i="3"/>
  <c r="K305" i="3"/>
  <c r="J305" i="3"/>
  <c r="I305" i="3"/>
  <c r="M304" i="3"/>
  <c r="L304" i="3"/>
  <c r="K304" i="3"/>
  <c r="J304" i="3"/>
  <c r="I304" i="3"/>
  <c r="M303" i="3"/>
  <c r="L303" i="3"/>
  <c r="K303" i="3"/>
  <c r="J303" i="3"/>
  <c r="I303" i="3"/>
  <c r="M302" i="3"/>
  <c r="L302" i="3"/>
  <c r="K302" i="3"/>
  <c r="J302" i="3"/>
  <c r="I302" i="3"/>
  <c r="M301" i="3"/>
  <c r="L301" i="3"/>
  <c r="K301" i="3"/>
  <c r="J301" i="3"/>
  <c r="I301" i="3"/>
  <c r="M300" i="3"/>
  <c r="L300" i="3"/>
  <c r="K300" i="3"/>
  <c r="J300" i="3"/>
  <c r="I300" i="3"/>
  <c r="M299" i="3"/>
  <c r="L299" i="3"/>
  <c r="K299" i="3"/>
  <c r="J299" i="3"/>
  <c r="I299" i="3"/>
  <c r="M298" i="3"/>
  <c r="L298" i="3"/>
  <c r="K298" i="3"/>
  <c r="J298" i="3"/>
  <c r="I298" i="3"/>
  <c r="M297" i="3"/>
  <c r="L297" i="3"/>
  <c r="K297" i="3"/>
  <c r="J297" i="3"/>
  <c r="I297" i="3"/>
  <c r="M296" i="3"/>
  <c r="L296" i="3"/>
  <c r="K296" i="3"/>
  <c r="J296" i="3"/>
  <c r="I296" i="3"/>
  <c r="M295" i="3"/>
  <c r="L295" i="3"/>
  <c r="K295" i="3"/>
  <c r="J295" i="3"/>
  <c r="I295" i="3"/>
  <c r="M294" i="3"/>
  <c r="L294" i="3"/>
  <c r="K294" i="3"/>
  <c r="J294" i="3"/>
  <c r="I294" i="3"/>
  <c r="M293" i="3"/>
  <c r="L293" i="3"/>
  <c r="K293" i="3"/>
  <c r="J293" i="3"/>
  <c r="I293" i="3"/>
  <c r="M292" i="3"/>
  <c r="L292" i="3"/>
  <c r="K292" i="3"/>
  <c r="J292" i="3"/>
  <c r="I292" i="3"/>
  <c r="M291" i="3"/>
  <c r="L291" i="3"/>
  <c r="K291" i="3"/>
  <c r="J291" i="3"/>
  <c r="I291" i="3"/>
  <c r="M290" i="3"/>
  <c r="L290" i="3"/>
  <c r="K290" i="3"/>
  <c r="J290" i="3"/>
  <c r="I290" i="3"/>
  <c r="M289" i="3"/>
  <c r="L289" i="3"/>
  <c r="K289" i="3"/>
  <c r="J289" i="3"/>
  <c r="I289" i="3"/>
  <c r="M288" i="3"/>
  <c r="L288" i="3"/>
  <c r="K288" i="3"/>
  <c r="J288" i="3"/>
  <c r="I288" i="3"/>
  <c r="M287" i="3"/>
  <c r="L287" i="3"/>
  <c r="K287" i="3"/>
  <c r="J287" i="3"/>
  <c r="I287" i="3"/>
  <c r="M286" i="3"/>
  <c r="L286" i="3"/>
  <c r="K286" i="3"/>
  <c r="J286" i="3"/>
  <c r="I286" i="3"/>
  <c r="M285" i="3"/>
  <c r="L285" i="3"/>
  <c r="K285" i="3"/>
  <c r="J285" i="3"/>
  <c r="I285" i="3"/>
  <c r="M284" i="3"/>
  <c r="L284" i="3"/>
  <c r="K284" i="3"/>
  <c r="J284" i="3"/>
  <c r="I284" i="3"/>
  <c r="M283" i="3"/>
  <c r="L283" i="3"/>
  <c r="K283" i="3"/>
  <c r="J283" i="3"/>
  <c r="I283" i="3"/>
  <c r="M282" i="3"/>
  <c r="L282" i="3"/>
  <c r="K282" i="3"/>
  <c r="J282" i="3"/>
  <c r="I282" i="3"/>
  <c r="M281" i="3"/>
  <c r="L281" i="3"/>
  <c r="K281" i="3"/>
  <c r="J281" i="3"/>
  <c r="I281" i="3"/>
  <c r="M280" i="3"/>
  <c r="L280" i="3"/>
  <c r="K280" i="3"/>
  <c r="J280" i="3"/>
  <c r="I280" i="3"/>
  <c r="M279" i="3"/>
  <c r="L279" i="3"/>
  <c r="K279" i="3"/>
  <c r="J279" i="3"/>
  <c r="I279" i="3"/>
  <c r="M278" i="3"/>
  <c r="L278" i="3"/>
  <c r="K278" i="3"/>
  <c r="J278" i="3"/>
  <c r="I278" i="3"/>
  <c r="M277" i="3"/>
  <c r="L277" i="3"/>
  <c r="K277" i="3"/>
  <c r="J277" i="3"/>
  <c r="I277" i="3"/>
  <c r="M276" i="3"/>
  <c r="L276" i="3"/>
  <c r="K276" i="3"/>
  <c r="J276" i="3"/>
  <c r="I276" i="3"/>
  <c r="M275" i="3"/>
  <c r="L275" i="3"/>
  <c r="K275" i="3"/>
  <c r="J275" i="3"/>
  <c r="I275" i="3"/>
  <c r="M274" i="3"/>
  <c r="L274" i="3"/>
  <c r="K274" i="3"/>
  <c r="J274" i="3"/>
  <c r="I274" i="3"/>
  <c r="M273" i="3"/>
  <c r="L273" i="3"/>
  <c r="K273" i="3"/>
  <c r="J273" i="3"/>
  <c r="I273" i="3"/>
  <c r="M272" i="3"/>
  <c r="L272" i="3"/>
  <c r="K272" i="3"/>
  <c r="J272" i="3"/>
  <c r="I272" i="3"/>
  <c r="M271" i="3"/>
  <c r="L271" i="3"/>
  <c r="K271" i="3"/>
  <c r="J271" i="3"/>
  <c r="I271" i="3"/>
  <c r="M270" i="3"/>
  <c r="L270" i="3"/>
  <c r="K270" i="3"/>
  <c r="J270" i="3"/>
  <c r="I270" i="3"/>
  <c r="M269" i="3"/>
  <c r="L269" i="3"/>
  <c r="K269" i="3"/>
  <c r="J269" i="3"/>
  <c r="I269" i="3"/>
  <c r="M268" i="3"/>
  <c r="L268" i="3"/>
  <c r="K268" i="3"/>
  <c r="J268" i="3"/>
  <c r="I268" i="3"/>
  <c r="M267" i="3"/>
  <c r="L267" i="3"/>
  <c r="K267" i="3"/>
  <c r="J267" i="3"/>
  <c r="I267" i="3"/>
  <c r="M266" i="3"/>
  <c r="L266" i="3"/>
  <c r="K266" i="3"/>
  <c r="J266" i="3"/>
  <c r="I266" i="3"/>
  <c r="M265" i="3"/>
  <c r="L265" i="3"/>
  <c r="K265" i="3"/>
  <c r="J265" i="3"/>
  <c r="I265" i="3"/>
  <c r="M264" i="3"/>
  <c r="L264" i="3"/>
  <c r="K264" i="3"/>
  <c r="J264" i="3"/>
  <c r="I264" i="3"/>
  <c r="M263" i="3"/>
  <c r="L263" i="3"/>
  <c r="K263" i="3"/>
  <c r="J263" i="3"/>
  <c r="I263" i="3"/>
  <c r="M262" i="3"/>
  <c r="L262" i="3"/>
  <c r="K262" i="3"/>
  <c r="J262" i="3"/>
  <c r="I262" i="3"/>
  <c r="M261" i="3"/>
  <c r="L261" i="3"/>
  <c r="K261" i="3"/>
  <c r="J261" i="3"/>
  <c r="I261" i="3"/>
  <c r="M260" i="3"/>
  <c r="L260" i="3"/>
  <c r="K260" i="3"/>
  <c r="J260" i="3"/>
  <c r="I260" i="3"/>
  <c r="M259" i="3"/>
  <c r="L259" i="3"/>
  <c r="K259" i="3"/>
  <c r="J259" i="3"/>
  <c r="I259" i="3"/>
  <c r="M258" i="3"/>
  <c r="L258" i="3"/>
  <c r="K258" i="3"/>
  <c r="J258" i="3"/>
  <c r="I258" i="3"/>
  <c r="M257" i="3"/>
  <c r="L257" i="3"/>
  <c r="K257" i="3"/>
  <c r="J257" i="3"/>
  <c r="I257" i="3"/>
  <c r="M256" i="3"/>
  <c r="L256" i="3"/>
  <c r="K256" i="3"/>
  <c r="J256" i="3"/>
  <c r="I256" i="3"/>
  <c r="M255" i="3"/>
  <c r="L255" i="3"/>
  <c r="K255" i="3"/>
  <c r="J255" i="3"/>
  <c r="I255" i="3"/>
  <c r="M254" i="3"/>
  <c r="L254" i="3"/>
  <c r="K254" i="3"/>
  <c r="J254" i="3"/>
  <c r="I254" i="3"/>
  <c r="M253" i="3"/>
  <c r="L253" i="3"/>
  <c r="K253" i="3"/>
  <c r="J253" i="3"/>
  <c r="I253" i="3"/>
  <c r="M252" i="3"/>
  <c r="L252" i="3"/>
  <c r="K252" i="3"/>
  <c r="J252" i="3"/>
  <c r="I252" i="3"/>
  <c r="M251" i="3"/>
  <c r="L251" i="3"/>
  <c r="K251" i="3"/>
  <c r="J251" i="3"/>
  <c r="I251" i="3"/>
  <c r="M250" i="3"/>
  <c r="L250" i="3"/>
  <c r="K250" i="3"/>
  <c r="J250" i="3"/>
  <c r="I250" i="3"/>
  <c r="M249" i="3"/>
  <c r="L249" i="3"/>
  <c r="K249" i="3"/>
  <c r="J249" i="3"/>
  <c r="I249" i="3"/>
  <c r="M248" i="3"/>
  <c r="L248" i="3"/>
  <c r="K248" i="3"/>
  <c r="J248" i="3"/>
  <c r="I248" i="3"/>
  <c r="M247" i="3"/>
  <c r="L247" i="3"/>
  <c r="K247" i="3"/>
  <c r="J247" i="3"/>
  <c r="I247" i="3"/>
  <c r="M246" i="3"/>
  <c r="L246" i="3"/>
  <c r="K246" i="3"/>
  <c r="J246" i="3"/>
  <c r="I246" i="3"/>
  <c r="M245" i="3"/>
  <c r="L245" i="3"/>
  <c r="K245" i="3"/>
  <c r="J245" i="3"/>
  <c r="I245" i="3"/>
  <c r="M244" i="3"/>
  <c r="L244" i="3"/>
  <c r="K244" i="3"/>
  <c r="J244" i="3"/>
  <c r="I244" i="3"/>
  <c r="M243" i="3"/>
  <c r="L243" i="3"/>
  <c r="K243" i="3"/>
  <c r="J243" i="3"/>
  <c r="I243" i="3"/>
  <c r="M242" i="3"/>
  <c r="L242" i="3"/>
  <c r="K242" i="3"/>
  <c r="J242" i="3"/>
  <c r="I242" i="3"/>
  <c r="M241" i="3"/>
  <c r="L241" i="3"/>
  <c r="K241" i="3"/>
  <c r="J241" i="3"/>
  <c r="I241" i="3"/>
  <c r="M240" i="3"/>
  <c r="L240" i="3"/>
  <c r="K240" i="3"/>
  <c r="J240" i="3"/>
  <c r="I240" i="3"/>
  <c r="M239" i="3"/>
  <c r="L239" i="3"/>
  <c r="K239" i="3"/>
  <c r="J239" i="3"/>
  <c r="I239" i="3"/>
  <c r="M238" i="3"/>
  <c r="L238" i="3"/>
  <c r="K238" i="3"/>
  <c r="J238" i="3"/>
  <c r="I238" i="3"/>
  <c r="M237" i="3"/>
  <c r="L237" i="3"/>
  <c r="K237" i="3"/>
  <c r="J237" i="3"/>
  <c r="I237" i="3"/>
  <c r="M236" i="3"/>
  <c r="L236" i="3"/>
  <c r="K236" i="3"/>
  <c r="J236" i="3"/>
  <c r="I236" i="3"/>
  <c r="M235" i="3"/>
  <c r="L235" i="3"/>
  <c r="K235" i="3"/>
  <c r="J235" i="3"/>
  <c r="I235" i="3"/>
  <c r="M234" i="3"/>
  <c r="L234" i="3"/>
  <c r="K234" i="3"/>
  <c r="J234" i="3"/>
  <c r="I234" i="3"/>
  <c r="M233" i="3"/>
  <c r="L233" i="3"/>
  <c r="K233" i="3"/>
  <c r="J233" i="3"/>
  <c r="I233" i="3"/>
  <c r="M232" i="3"/>
  <c r="L232" i="3"/>
  <c r="K232" i="3"/>
  <c r="J232" i="3"/>
  <c r="I232" i="3"/>
  <c r="M231" i="3"/>
  <c r="L231" i="3"/>
  <c r="K231" i="3"/>
  <c r="J231" i="3"/>
  <c r="I231" i="3"/>
  <c r="M230" i="3"/>
  <c r="L230" i="3"/>
  <c r="K230" i="3"/>
  <c r="J230" i="3"/>
  <c r="I230" i="3"/>
  <c r="M229" i="3"/>
  <c r="L229" i="3"/>
  <c r="K229" i="3"/>
  <c r="J229" i="3"/>
  <c r="I229" i="3"/>
  <c r="M228" i="3"/>
  <c r="L228" i="3"/>
  <c r="K228" i="3"/>
  <c r="J228" i="3"/>
  <c r="I228" i="3"/>
  <c r="M227" i="3"/>
  <c r="L227" i="3"/>
  <c r="K227" i="3"/>
  <c r="J227" i="3"/>
  <c r="I227" i="3"/>
  <c r="M226" i="3"/>
  <c r="L226" i="3"/>
  <c r="K226" i="3"/>
  <c r="J226" i="3"/>
  <c r="I226" i="3"/>
  <c r="M225" i="3"/>
  <c r="L225" i="3"/>
  <c r="K225" i="3"/>
  <c r="J225" i="3"/>
  <c r="I225" i="3"/>
  <c r="M224" i="3"/>
  <c r="L224" i="3"/>
  <c r="K224" i="3"/>
  <c r="J224" i="3"/>
  <c r="I224" i="3"/>
  <c r="M223" i="3"/>
  <c r="L223" i="3"/>
  <c r="K223" i="3"/>
  <c r="J223" i="3"/>
  <c r="I223" i="3"/>
  <c r="M222" i="3"/>
  <c r="L222" i="3"/>
  <c r="K222" i="3"/>
  <c r="J222" i="3"/>
  <c r="I222" i="3"/>
  <c r="M221" i="3"/>
  <c r="L221" i="3"/>
  <c r="K221" i="3"/>
  <c r="J221" i="3"/>
  <c r="I221" i="3"/>
  <c r="M220" i="3"/>
  <c r="L220" i="3"/>
  <c r="K220" i="3"/>
  <c r="J220" i="3"/>
  <c r="I220" i="3"/>
  <c r="M219" i="3"/>
  <c r="L219" i="3"/>
  <c r="K219" i="3"/>
  <c r="J219" i="3"/>
  <c r="I219" i="3"/>
  <c r="M218" i="3"/>
  <c r="L218" i="3"/>
  <c r="K218" i="3"/>
  <c r="J218" i="3"/>
  <c r="I218" i="3"/>
  <c r="M217" i="3"/>
  <c r="L217" i="3"/>
  <c r="K217" i="3"/>
  <c r="J217" i="3"/>
  <c r="I217" i="3"/>
  <c r="M216" i="3"/>
  <c r="L216" i="3"/>
  <c r="K216" i="3"/>
  <c r="J216" i="3"/>
  <c r="I216" i="3"/>
  <c r="M215" i="3"/>
  <c r="L215" i="3"/>
  <c r="K215" i="3"/>
  <c r="J215" i="3"/>
  <c r="I215" i="3"/>
  <c r="M214" i="3"/>
  <c r="L214" i="3"/>
  <c r="K214" i="3"/>
  <c r="J214" i="3"/>
  <c r="I214" i="3"/>
  <c r="M213" i="3"/>
  <c r="L213" i="3"/>
  <c r="K213" i="3"/>
  <c r="J213" i="3"/>
  <c r="I213" i="3"/>
  <c r="M212" i="3"/>
  <c r="L212" i="3"/>
  <c r="K212" i="3"/>
  <c r="J212" i="3"/>
  <c r="I212" i="3"/>
  <c r="M211" i="3"/>
  <c r="L211" i="3"/>
  <c r="K211" i="3"/>
  <c r="J211" i="3"/>
  <c r="I211" i="3"/>
  <c r="M210" i="3"/>
  <c r="L210" i="3"/>
  <c r="K210" i="3"/>
  <c r="J210" i="3"/>
  <c r="I210" i="3"/>
  <c r="M209" i="3"/>
  <c r="L209" i="3"/>
  <c r="K209" i="3"/>
  <c r="J209" i="3"/>
  <c r="I209" i="3"/>
  <c r="M208" i="3"/>
  <c r="L208" i="3"/>
  <c r="K208" i="3"/>
  <c r="J208" i="3"/>
  <c r="I208" i="3"/>
  <c r="M207" i="3"/>
  <c r="L207" i="3"/>
  <c r="K207" i="3"/>
  <c r="J207" i="3"/>
  <c r="I207" i="3"/>
  <c r="M206" i="3"/>
  <c r="L206" i="3"/>
  <c r="K206" i="3"/>
  <c r="J206" i="3"/>
  <c r="I206" i="3"/>
  <c r="M205" i="3"/>
  <c r="L205" i="3"/>
  <c r="K205" i="3"/>
  <c r="J205" i="3"/>
  <c r="I205" i="3"/>
  <c r="M204" i="3"/>
  <c r="L204" i="3"/>
  <c r="K204" i="3"/>
  <c r="J204" i="3"/>
  <c r="I204" i="3"/>
  <c r="M203" i="3"/>
  <c r="L203" i="3"/>
  <c r="K203" i="3"/>
  <c r="J203" i="3"/>
  <c r="I203" i="3"/>
  <c r="M202" i="3"/>
  <c r="L202" i="3"/>
  <c r="K202" i="3"/>
  <c r="J202" i="3"/>
  <c r="I202" i="3"/>
  <c r="M201" i="3"/>
  <c r="L201" i="3"/>
  <c r="K201" i="3"/>
  <c r="J201" i="3"/>
  <c r="I201" i="3"/>
  <c r="M200" i="3"/>
  <c r="L200" i="3"/>
  <c r="K200" i="3"/>
  <c r="J200" i="3"/>
  <c r="I200" i="3"/>
  <c r="M199" i="3"/>
  <c r="L199" i="3"/>
  <c r="K199" i="3"/>
  <c r="J199" i="3"/>
  <c r="I199" i="3"/>
  <c r="M198" i="3"/>
  <c r="L198" i="3"/>
  <c r="K198" i="3"/>
  <c r="J198" i="3"/>
  <c r="I198" i="3"/>
  <c r="M197" i="3"/>
  <c r="L197" i="3"/>
  <c r="K197" i="3"/>
  <c r="J197" i="3"/>
  <c r="I197" i="3"/>
  <c r="M196" i="3"/>
  <c r="L196" i="3"/>
  <c r="K196" i="3"/>
  <c r="J196" i="3"/>
  <c r="I196" i="3"/>
  <c r="M195" i="3"/>
  <c r="L195" i="3"/>
  <c r="K195" i="3"/>
  <c r="J195" i="3"/>
  <c r="I195" i="3"/>
  <c r="M194" i="3"/>
  <c r="L194" i="3"/>
  <c r="K194" i="3"/>
  <c r="J194" i="3"/>
  <c r="I194" i="3"/>
  <c r="M193" i="3"/>
  <c r="L193" i="3"/>
  <c r="K193" i="3"/>
  <c r="J193" i="3"/>
  <c r="I193" i="3"/>
  <c r="M192" i="3"/>
  <c r="L192" i="3"/>
  <c r="K192" i="3"/>
  <c r="J192" i="3"/>
  <c r="I192" i="3"/>
  <c r="M191" i="3"/>
  <c r="L191" i="3"/>
  <c r="K191" i="3"/>
  <c r="J191" i="3"/>
  <c r="I191" i="3"/>
  <c r="M190" i="3"/>
  <c r="L190" i="3"/>
  <c r="K190" i="3"/>
  <c r="J190" i="3"/>
  <c r="I190" i="3"/>
  <c r="M189" i="3"/>
  <c r="L189" i="3"/>
  <c r="K189" i="3"/>
  <c r="J189" i="3"/>
  <c r="I189" i="3"/>
  <c r="M188" i="3"/>
  <c r="L188" i="3"/>
  <c r="K188" i="3"/>
  <c r="J188" i="3"/>
  <c r="I188" i="3"/>
  <c r="M187" i="3"/>
  <c r="L187" i="3"/>
  <c r="K187" i="3"/>
  <c r="J187" i="3"/>
  <c r="I187" i="3"/>
  <c r="M186" i="3"/>
  <c r="L186" i="3"/>
  <c r="K186" i="3"/>
  <c r="J186" i="3"/>
  <c r="I186" i="3"/>
  <c r="M185" i="3"/>
  <c r="L185" i="3"/>
  <c r="K185" i="3"/>
  <c r="J185" i="3"/>
  <c r="I185" i="3"/>
  <c r="M184" i="3"/>
  <c r="L184" i="3"/>
  <c r="K184" i="3"/>
  <c r="J184" i="3"/>
  <c r="I184" i="3"/>
  <c r="M183" i="3"/>
  <c r="L183" i="3"/>
  <c r="K183" i="3"/>
  <c r="J183" i="3"/>
  <c r="I183" i="3"/>
  <c r="M182" i="3"/>
  <c r="L182" i="3"/>
  <c r="K182" i="3"/>
  <c r="J182" i="3"/>
  <c r="I182" i="3"/>
  <c r="M181" i="3"/>
  <c r="L181" i="3"/>
  <c r="K181" i="3"/>
  <c r="J181" i="3"/>
  <c r="I181" i="3"/>
  <c r="M180" i="3"/>
  <c r="L180" i="3"/>
  <c r="K180" i="3"/>
  <c r="J180" i="3"/>
  <c r="I180" i="3"/>
  <c r="M179" i="3"/>
  <c r="L179" i="3"/>
  <c r="K179" i="3"/>
  <c r="J179" i="3"/>
  <c r="I179" i="3"/>
  <c r="M178" i="3"/>
  <c r="L178" i="3"/>
  <c r="K178" i="3"/>
  <c r="J178" i="3"/>
  <c r="I178" i="3"/>
  <c r="M177" i="3"/>
  <c r="L177" i="3"/>
  <c r="K177" i="3"/>
  <c r="J177" i="3"/>
  <c r="I177" i="3"/>
  <c r="M176" i="3"/>
  <c r="L176" i="3"/>
  <c r="K176" i="3"/>
  <c r="J176" i="3"/>
  <c r="I176" i="3"/>
  <c r="M175" i="3"/>
  <c r="L175" i="3"/>
  <c r="K175" i="3"/>
  <c r="J175" i="3"/>
  <c r="I175" i="3"/>
  <c r="M174" i="3"/>
  <c r="L174" i="3"/>
  <c r="K174" i="3"/>
  <c r="J174" i="3"/>
  <c r="I174" i="3"/>
  <c r="M173" i="3"/>
  <c r="L173" i="3"/>
  <c r="K173" i="3"/>
  <c r="J173" i="3"/>
  <c r="I173" i="3"/>
  <c r="M172" i="3"/>
  <c r="L172" i="3"/>
  <c r="K172" i="3"/>
  <c r="J172" i="3"/>
  <c r="I172" i="3"/>
  <c r="M171" i="3"/>
  <c r="L171" i="3"/>
  <c r="K171" i="3"/>
  <c r="J171" i="3"/>
  <c r="I171" i="3"/>
  <c r="M170" i="3"/>
  <c r="L170" i="3"/>
  <c r="K170" i="3"/>
  <c r="J170" i="3"/>
  <c r="I170" i="3"/>
  <c r="M169" i="3"/>
  <c r="L169" i="3"/>
  <c r="K169" i="3"/>
  <c r="J169" i="3"/>
  <c r="I169" i="3"/>
  <c r="M168" i="3"/>
  <c r="L168" i="3"/>
  <c r="K168" i="3"/>
  <c r="J168" i="3"/>
  <c r="I168" i="3"/>
  <c r="M167" i="3"/>
  <c r="L167" i="3"/>
  <c r="K167" i="3"/>
  <c r="J167" i="3"/>
  <c r="I167" i="3"/>
  <c r="M166" i="3"/>
  <c r="L166" i="3"/>
  <c r="K166" i="3"/>
  <c r="J166" i="3"/>
  <c r="I166" i="3"/>
  <c r="M165" i="3"/>
  <c r="L165" i="3"/>
  <c r="K165" i="3"/>
  <c r="J165" i="3"/>
  <c r="I165" i="3"/>
  <c r="M164" i="3"/>
  <c r="L164" i="3"/>
  <c r="K164" i="3"/>
  <c r="J164" i="3"/>
  <c r="I164" i="3"/>
  <c r="M163" i="3"/>
  <c r="L163" i="3"/>
  <c r="K163" i="3"/>
  <c r="J163" i="3"/>
  <c r="I163" i="3"/>
  <c r="M162" i="3"/>
  <c r="L162" i="3"/>
  <c r="K162" i="3"/>
  <c r="J162" i="3"/>
  <c r="I162" i="3"/>
  <c r="M161" i="3"/>
  <c r="L161" i="3"/>
  <c r="K161" i="3"/>
  <c r="J161" i="3"/>
  <c r="I161" i="3"/>
  <c r="M160" i="3"/>
  <c r="L160" i="3"/>
  <c r="K160" i="3"/>
  <c r="J160" i="3"/>
  <c r="I160" i="3"/>
  <c r="M159" i="3"/>
  <c r="L159" i="3"/>
  <c r="K159" i="3"/>
  <c r="J159" i="3"/>
  <c r="I159" i="3"/>
  <c r="M158" i="3"/>
  <c r="L158" i="3"/>
  <c r="K158" i="3"/>
  <c r="J158" i="3"/>
  <c r="I158" i="3"/>
  <c r="M157" i="3"/>
  <c r="L157" i="3"/>
  <c r="K157" i="3"/>
  <c r="J157" i="3"/>
  <c r="I157" i="3"/>
  <c r="M156" i="3"/>
  <c r="L156" i="3"/>
  <c r="K156" i="3"/>
  <c r="J156" i="3"/>
  <c r="I156" i="3"/>
  <c r="M155" i="3"/>
  <c r="L155" i="3"/>
  <c r="K155" i="3"/>
  <c r="J155" i="3"/>
  <c r="I155" i="3"/>
  <c r="M154" i="3"/>
  <c r="L154" i="3"/>
  <c r="K154" i="3"/>
  <c r="J154" i="3"/>
  <c r="I154" i="3"/>
  <c r="M153" i="3"/>
  <c r="L153" i="3"/>
  <c r="K153" i="3"/>
  <c r="J153" i="3"/>
  <c r="I153" i="3"/>
  <c r="M152" i="3"/>
  <c r="L152" i="3"/>
  <c r="K152" i="3"/>
  <c r="J152" i="3"/>
  <c r="I152" i="3"/>
  <c r="M151" i="3"/>
  <c r="L151" i="3"/>
  <c r="K151" i="3"/>
  <c r="J151" i="3"/>
  <c r="I151" i="3"/>
  <c r="M150" i="3"/>
  <c r="L150" i="3"/>
  <c r="K150" i="3"/>
  <c r="J150" i="3"/>
  <c r="I150" i="3"/>
  <c r="M149" i="3"/>
  <c r="L149" i="3"/>
  <c r="K149" i="3"/>
  <c r="J149" i="3"/>
  <c r="I149" i="3"/>
  <c r="M148" i="3"/>
  <c r="L148" i="3"/>
  <c r="K148" i="3"/>
  <c r="J148" i="3"/>
  <c r="I148" i="3"/>
  <c r="M147" i="3"/>
  <c r="L147" i="3"/>
  <c r="K147" i="3"/>
  <c r="J147" i="3"/>
  <c r="I147" i="3"/>
  <c r="M146" i="3"/>
  <c r="L146" i="3"/>
  <c r="K146" i="3"/>
  <c r="J146" i="3"/>
  <c r="I146" i="3"/>
  <c r="M145" i="3"/>
  <c r="L145" i="3"/>
  <c r="K145" i="3"/>
  <c r="J145" i="3"/>
  <c r="I145" i="3"/>
  <c r="M144" i="3"/>
  <c r="L144" i="3"/>
  <c r="K144" i="3"/>
  <c r="J144" i="3"/>
  <c r="I144" i="3"/>
  <c r="M143" i="3"/>
  <c r="L143" i="3"/>
  <c r="K143" i="3"/>
  <c r="J143" i="3"/>
  <c r="I143" i="3"/>
  <c r="M142" i="3"/>
  <c r="L142" i="3"/>
  <c r="K142" i="3"/>
  <c r="J142" i="3"/>
  <c r="I142" i="3"/>
  <c r="M141" i="3"/>
  <c r="L141" i="3"/>
  <c r="K141" i="3"/>
  <c r="J141" i="3"/>
  <c r="I141" i="3"/>
  <c r="M140" i="3"/>
  <c r="L140" i="3"/>
  <c r="K140" i="3"/>
  <c r="J140" i="3"/>
  <c r="I140" i="3"/>
  <c r="M139" i="3"/>
  <c r="L139" i="3"/>
  <c r="K139" i="3"/>
  <c r="J139" i="3"/>
  <c r="I139" i="3"/>
  <c r="M138" i="3"/>
  <c r="L138" i="3"/>
  <c r="K138" i="3"/>
  <c r="J138" i="3"/>
  <c r="I138" i="3"/>
  <c r="M137" i="3"/>
  <c r="L137" i="3"/>
  <c r="K137" i="3"/>
  <c r="J137" i="3"/>
  <c r="I137" i="3"/>
  <c r="M136" i="3"/>
  <c r="L136" i="3"/>
  <c r="K136" i="3"/>
  <c r="J136" i="3"/>
  <c r="I136" i="3"/>
  <c r="M135" i="3"/>
  <c r="L135" i="3"/>
  <c r="K135" i="3"/>
  <c r="J135" i="3"/>
  <c r="I135" i="3"/>
  <c r="M134" i="3"/>
  <c r="L134" i="3"/>
  <c r="K134" i="3"/>
  <c r="J134" i="3"/>
  <c r="I134" i="3"/>
  <c r="M133" i="3"/>
  <c r="L133" i="3"/>
  <c r="K133" i="3"/>
  <c r="J133" i="3"/>
  <c r="I133" i="3"/>
  <c r="M132" i="3"/>
  <c r="L132" i="3"/>
  <c r="K132" i="3"/>
  <c r="J132" i="3"/>
  <c r="I132" i="3"/>
  <c r="M131" i="3"/>
  <c r="L131" i="3"/>
  <c r="K131" i="3"/>
  <c r="J131" i="3"/>
  <c r="I131" i="3"/>
  <c r="M130" i="3"/>
  <c r="L130" i="3"/>
  <c r="K130" i="3"/>
  <c r="J130" i="3"/>
  <c r="I130" i="3"/>
  <c r="M129" i="3"/>
  <c r="L129" i="3"/>
  <c r="K129" i="3"/>
  <c r="J129" i="3"/>
  <c r="I129" i="3"/>
  <c r="M128" i="3"/>
  <c r="L128" i="3"/>
  <c r="K128" i="3"/>
  <c r="J128" i="3"/>
  <c r="I128" i="3"/>
  <c r="M127" i="3"/>
  <c r="L127" i="3"/>
  <c r="K127" i="3"/>
  <c r="J127" i="3"/>
  <c r="I127" i="3"/>
  <c r="M126" i="3"/>
  <c r="L126" i="3"/>
  <c r="K126" i="3"/>
  <c r="J126" i="3"/>
  <c r="I126" i="3"/>
  <c r="M125" i="3"/>
  <c r="L125" i="3"/>
  <c r="K125" i="3"/>
  <c r="J125" i="3"/>
  <c r="I125" i="3"/>
  <c r="M124" i="3"/>
  <c r="L124" i="3"/>
  <c r="K124" i="3"/>
  <c r="J124" i="3"/>
  <c r="I124" i="3"/>
  <c r="M123" i="3"/>
  <c r="L123" i="3"/>
  <c r="K123" i="3"/>
  <c r="J123" i="3"/>
  <c r="I123" i="3"/>
  <c r="M122" i="3"/>
  <c r="L122" i="3"/>
  <c r="K122" i="3"/>
  <c r="J122" i="3"/>
  <c r="I122" i="3"/>
  <c r="M121" i="3"/>
  <c r="L121" i="3"/>
  <c r="K121" i="3"/>
  <c r="J121" i="3"/>
  <c r="I121" i="3"/>
  <c r="M120" i="3"/>
  <c r="L120" i="3"/>
  <c r="K120" i="3"/>
  <c r="J120" i="3"/>
  <c r="I120" i="3"/>
  <c r="M119" i="3"/>
  <c r="L119" i="3"/>
  <c r="K119" i="3"/>
  <c r="J119" i="3"/>
  <c r="I119" i="3"/>
  <c r="M118" i="3"/>
  <c r="L118" i="3"/>
  <c r="K118" i="3"/>
  <c r="J118" i="3"/>
  <c r="I118" i="3"/>
  <c r="M117" i="3"/>
  <c r="L117" i="3"/>
  <c r="K117" i="3"/>
  <c r="J117" i="3"/>
  <c r="I117" i="3"/>
  <c r="M116" i="3"/>
  <c r="L116" i="3"/>
  <c r="K116" i="3"/>
  <c r="J116" i="3"/>
  <c r="I116" i="3"/>
  <c r="M115" i="3"/>
  <c r="L115" i="3"/>
  <c r="K115" i="3"/>
  <c r="J115" i="3"/>
  <c r="I115" i="3"/>
  <c r="M114" i="3"/>
  <c r="L114" i="3"/>
  <c r="K114" i="3"/>
  <c r="J114" i="3"/>
  <c r="I114" i="3"/>
  <c r="M113" i="3"/>
  <c r="L113" i="3"/>
  <c r="K113" i="3"/>
  <c r="J113" i="3"/>
  <c r="I113" i="3"/>
  <c r="M112" i="3"/>
  <c r="L112" i="3"/>
  <c r="K112" i="3"/>
  <c r="J112" i="3"/>
  <c r="I112" i="3"/>
  <c r="M111" i="3"/>
  <c r="L111" i="3"/>
  <c r="K111" i="3"/>
  <c r="J111" i="3"/>
  <c r="I111" i="3"/>
  <c r="M110" i="3"/>
  <c r="L110" i="3"/>
  <c r="K110" i="3"/>
  <c r="J110" i="3"/>
  <c r="I110" i="3"/>
  <c r="M109" i="3"/>
  <c r="L109" i="3"/>
  <c r="K109" i="3"/>
  <c r="J109" i="3"/>
  <c r="I109" i="3"/>
  <c r="M108" i="3"/>
  <c r="L108" i="3"/>
  <c r="K108" i="3"/>
  <c r="J108" i="3"/>
  <c r="I108" i="3"/>
  <c r="M107" i="3"/>
  <c r="L107" i="3"/>
  <c r="K107" i="3"/>
  <c r="J107" i="3"/>
  <c r="I107" i="3"/>
  <c r="M106" i="3"/>
  <c r="L106" i="3"/>
  <c r="K106" i="3"/>
  <c r="J106" i="3"/>
  <c r="I106" i="3"/>
  <c r="M105" i="3"/>
  <c r="L105" i="3"/>
  <c r="K105" i="3"/>
  <c r="J105" i="3"/>
  <c r="I105" i="3"/>
  <c r="M104" i="3"/>
  <c r="L104" i="3"/>
  <c r="K104" i="3"/>
  <c r="J104" i="3"/>
  <c r="I104" i="3"/>
  <c r="M103" i="3"/>
  <c r="L103" i="3"/>
  <c r="K103" i="3"/>
  <c r="J103" i="3"/>
  <c r="I103" i="3"/>
  <c r="M102" i="3"/>
  <c r="L102" i="3"/>
  <c r="K102" i="3"/>
  <c r="J102" i="3"/>
  <c r="I102" i="3"/>
  <c r="M101" i="3"/>
  <c r="L101" i="3"/>
  <c r="K101" i="3"/>
  <c r="J101" i="3"/>
  <c r="I101" i="3"/>
  <c r="M100" i="3"/>
  <c r="L100" i="3"/>
  <c r="K100" i="3"/>
  <c r="J100" i="3"/>
  <c r="I100" i="3"/>
  <c r="M99" i="3"/>
  <c r="L99" i="3"/>
  <c r="K99" i="3"/>
  <c r="J99" i="3"/>
  <c r="I99" i="3"/>
  <c r="M98" i="3"/>
  <c r="L98" i="3"/>
  <c r="K98" i="3"/>
  <c r="J98" i="3"/>
  <c r="I98" i="3"/>
  <c r="M97" i="3"/>
  <c r="L97" i="3"/>
  <c r="K97" i="3"/>
  <c r="J97" i="3"/>
  <c r="I97" i="3"/>
  <c r="M96" i="3"/>
  <c r="L96" i="3"/>
  <c r="K96" i="3"/>
  <c r="J96" i="3"/>
  <c r="I96" i="3"/>
  <c r="M95" i="3"/>
  <c r="L95" i="3"/>
  <c r="K95" i="3"/>
  <c r="J95" i="3"/>
  <c r="I95" i="3"/>
  <c r="M94" i="3"/>
  <c r="L94" i="3"/>
  <c r="K94" i="3"/>
  <c r="J94" i="3"/>
  <c r="I94" i="3"/>
  <c r="M93" i="3"/>
  <c r="L93" i="3"/>
  <c r="K93" i="3"/>
  <c r="J93" i="3"/>
  <c r="I93" i="3"/>
  <c r="M92" i="3"/>
  <c r="L92" i="3"/>
  <c r="K92" i="3"/>
  <c r="J92" i="3"/>
  <c r="I92" i="3"/>
  <c r="M91" i="3"/>
  <c r="L91" i="3"/>
  <c r="K91" i="3"/>
  <c r="J91" i="3"/>
  <c r="I91" i="3"/>
  <c r="M90" i="3"/>
  <c r="L90" i="3"/>
  <c r="K90" i="3"/>
  <c r="J90" i="3"/>
  <c r="I90" i="3"/>
  <c r="M89" i="3"/>
  <c r="L89" i="3"/>
  <c r="K89" i="3"/>
  <c r="J89" i="3"/>
  <c r="I89" i="3"/>
  <c r="M88" i="3"/>
  <c r="L88" i="3"/>
  <c r="K88" i="3"/>
  <c r="J88" i="3"/>
  <c r="I88" i="3"/>
  <c r="M87" i="3"/>
  <c r="L87" i="3"/>
  <c r="K87" i="3"/>
  <c r="J87" i="3"/>
  <c r="I87" i="3"/>
  <c r="M86" i="3"/>
  <c r="L86" i="3"/>
  <c r="K86" i="3"/>
  <c r="J86" i="3"/>
  <c r="I86" i="3"/>
  <c r="M85" i="3"/>
  <c r="L85" i="3"/>
  <c r="K85" i="3"/>
  <c r="J85" i="3"/>
  <c r="I85" i="3"/>
  <c r="M84" i="3"/>
  <c r="L84" i="3"/>
  <c r="K84" i="3"/>
  <c r="J84" i="3"/>
  <c r="I84" i="3"/>
  <c r="M83" i="3"/>
  <c r="L83" i="3"/>
  <c r="K83" i="3"/>
  <c r="J83" i="3"/>
  <c r="I83" i="3"/>
  <c r="M82" i="3"/>
  <c r="L82" i="3"/>
  <c r="K82" i="3"/>
  <c r="J82" i="3"/>
  <c r="I82" i="3"/>
  <c r="M81" i="3"/>
  <c r="L81" i="3"/>
  <c r="K81" i="3"/>
  <c r="J81" i="3"/>
  <c r="I81" i="3"/>
  <c r="M80" i="3"/>
  <c r="L80" i="3"/>
  <c r="K80" i="3"/>
  <c r="J80" i="3"/>
  <c r="I80" i="3"/>
  <c r="M79" i="3"/>
  <c r="L79" i="3"/>
  <c r="K79" i="3"/>
  <c r="J79" i="3"/>
  <c r="I79" i="3"/>
  <c r="M78" i="3"/>
  <c r="L78" i="3"/>
  <c r="K78" i="3"/>
  <c r="J78" i="3"/>
  <c r="I78" i="3"/>
  <c r="M77" i="3"/>
  <c r="L77" i="3"/>
  <c r="K77" i="3"/>
  <c r="J77" i="3"/>
  <c r="I77" i="3"/>
  <c r="M76" i="3"/>
  <c r="L76" i="3"/>
  <c r="K76" i="3"/>
  <c r="J76" i="3"/>
  <c r="I76" i="3"/>
  <c r="M75" i="3"/>
  <c r="L75" i="3"/>
  <c r="K75" i="3"/>
  <c r="J75" i="3"/>
  <c r="I75" i="3"/>
  <c r="M74" i="3"/>
  <c r="L74" i="3"/>
  <c r="K74" i="3"/>
  <c r="J74" i="3"/>
  <c r="I74" i="3"/>
  <c r="M73" i="3"/>
  <c r="L73" i="3"/>
  <c r="K73" i="3"/>
  <c r="J73" i="3"/>
  <c r="I73" i="3"/>
  <c r="M72" i="3"/>
  <c r="L72" i="3"/>
  <c r="K72" i="3"/>
  <c r="J72" i="3"/>
  <c r="I72" i="3"/>
  <c r="M71" i="3"/>
  <c r="L71" i="3"/>
  <c r="K71" i="3"/>
  <c r="J71" i="3"/>
  <c r="I71" i="3"/>
  <c r="M70" i="3"/>
  <c r="L70" i="3"/>
  <c r="K70" i="3"/>
  <c r="J70" i="3"/>
  <c r="I70" i="3"/>
  <c r="M69" i="3"/>
  <c r="L69" i="3"/>
  <c r="K69" i="3"/>
  <c r="J69" i="3"/>
  <c r="I69" i="3"/>
  <c r="M68" i="3"/>
  <c r="L68" i="3"/>
  <c r="K68" i="3"/>
  <c r="J68" i="3"/>
  <c r="I68" i="3"/>
  <c r="M67" i="3"/>
  <c r="L67" i="3"/>
  <c r="K67" i="3"/>
  <c r="J67" i="3"/>
  <c r="I67" i="3"/>
  <c r="M66" i="3"/>
  <c r="L66" i="3"/>
  <c r="K66" i="3"/>
  <c r="J66" i="3"/>
  <c r="I66" i="3"/>
  <c r="M65" i="3"/>
  <c r="L65" i="3"/>
  <c r="K65" i="3"/>
  <c r="J65" i="3"/>
  <c r="I65" i="3"/>
  <c r="M64" i="3"/>
  <c r="L64" i="3"/>
  <c r="K64" i="3"/>
  <c r="J64" i="3"/>
  <c r="I64" i="3"/>
  <c r="M63" i="3"/>
  <c r="L63" i="3"/>
  <c r="K63" i="3"/>
  <c r="J63" i="3"/>
  <c r="I63" i="3"/>
  <c r="M62" i="3"/>
  <c r="L62" i="3"/>
  <c r="K62" i="3"/>
  <c r="J62" i="3"/>
  <c r="I62" i="3"/>
  <c r="M61" i="3"/>
  <c r="L61" i="3"/>
  <c r="K61" i="3"/>
  <c r="J61" i="3"/>
  <c r="I61" i="3"/>
  <c r="M60" i="3"/>
  <c r="L60" i="3"/>
  <c r="K60" i="3"/>
  <c r="J60" i="3"/>
  <c r="I60" i="3"/>
  <c r="M59" i="3"/>
  <c r="L59" i="3"/>
  <c r="K59" i="3"/>
  <c r="J59" i="3"/>
  <c r="I59" i="3"/>
  <c r="M58" i="3"/>
  <c r="L58" i="3"/>
  <c r="K58" i="3"/>
  <c r="J58" i="3"/>
  <c r="I58" i="3"/>
  <c r="M57" i="3"/>
  <c r="L57" i="3"/>
  <c r="K57" i="3"/>
  <c r="J57" i="3"/>
  <c r="I57" i="3"/>
  <c r="M56" i="3"/>
  <c r="L56" i="3"/>
  <c r="K56" i="3"/>
  <c r="J56" i="3"/>
  <c r="I56" i="3"/>
  <c r="M55" i="3"/>
  <c r="L55" i="3"/>
  <c r="K55" i="3"/>
  <c r="J55" i="3"/>
  <c r="I55" i="3"/>
  <c r="M54" i="3"/>
  <c r="L54" i="3"/>
  <c r="K54" i="3"/>
  <c r="J54" i="3"/>
  <c r="I54" i="3"/>
  <c r="M53" i="3"/>
  <c r="L53" i="3"/>
  <c r="K53" i="3"/>
  <c r="J53" i="3"/>
  <c r="I53" i="3"/>
  <c r="M52" i="3"/>
  <c r="L52" i="3"/>
  <c r="K52" i="3"/>
  <c r="J52" i="3"/>
  <c r="I52" i="3"/>
  <c r="M51" i="3"/>
  <c r="L51" i="3"/>
  <c r="K51" i="3"/>
  <c r="J51" i="3"/>
  <c r="I51" i="3"/>
  <c r="M50" i="3"/>
  <c r="L50" i="3"/>
  <c r="K50" i="3"/>
  <c r="J50" i="3"/>
  <c r="I50" i="3"/>
  <c r="M49" i="3"/>
  <c r="L49" i="3"/>
  <c r="K49" i="3"/>
  <c r="J49" i="3"/>
  <c r="I49" i="3"/>
  <c r="M48" i="3"/>
  <c r="L48" i="3"/>
  <c r="K48" i="3"/>
  <c r="J48" i="3"/>
  <c r="I48" i="3"/>
  <c r="M47" i="3"/>
  <c r="L47" i="3"/>
  <c r="K47" i="3"/>
  <c r="J47" i="3"/>
  <c r="I47" i="3"/>
  <c r="M46" i="3"/>
  <c r="L46" i="3"/>
  <c r="K46" i="3"/>
  <c r="J46" i="3"/>
  <c r="I46" i="3"/>
  <c r="M45" i="3"/>
  <c r="L45" i="3"/>
  <c r="K45" i="3"/>
  <c r="J45" i="3"/>
  <c r="I45" i="3"/>
  <c r="M44" i="3"/>
  <c r="L44" i="3"/>
  <c r="K44" i="3"/>
  <c r="J44" i="3"/>
  <c r="I44" i="3"/>
  <c r="M43" i="3"/>
  <c r="L43" i="3"/>
  <c r="K43" i="3"/>
  <c r="J43" i="3"/>
  <c r="I43" i="3"/>
  <c r="M42" i="3"/>
  <c r="L42" i="3"/>
  <c r="K42" i="3"/>
  <c r="J42" i="3"/>
  <c r="I42" i="3"/>
  <c r="M41" i="3"/>
  <c r="L41" i="3"/>
  <c r="K41" i="3"/>
  <c r="J41" i="3"/>
  <c r="I41" i="3"/>
  <c r="M40" i="3"/>
  <c r="L40" i="3"/>
  <c r="K40" i="3"/>
  <c r="J40" i="3"/>
  <c r="I40" i="3"/>
  <c r="M39" i="3"/>
  <c r="L39" i="3"/>
  <c r="K39" i="3"/>
  <c r="J39" i="3"/>
  <c r="I39" i="3"/>
  <c r="M38" i="3"/>
  <c r="L38" i="3"/>
  <c r="K38" i="3"/>
  <c r="J38" i="3"/>
  <c r="I38" i="3"/>
  <c r="M37" i="3"/>
  <c r="L37" i="3"/>
  <c r="K37" i="3"/>
  <c r="J37" i="3"/>
  <c r="I37" i="3"/>
  <c r="M36" i="3"/>
  <c r="L36" i="3"/>
  <c r="K36" i="3"/>
  <c r="J36" i="3"/>
  <c r="I36" i="3"/>
  <c r="M35" i="3"/>
  <c r="L35" i="3"/>
  <c r="K35" i="3"/>
  <c r="J35" i="3"/>
  <c r="I35" i="3"/>
  <c r="M34" i="3"/>
  <c r="L34" i="3"/>
  <c r="K34" i="3"/>
  <c r="J34" i="3"/>
  <c r="I34" i="3"/>
  <c r="M33" i="3"/>
  <c r="L33" i="3"/>
  <c r="K33" i="3"/>
  <c r="J33" i="3"/>
  <c r="I33" i="3"/>
  <c r="M32" i="3"/>
  <c r="L32" i="3"/>
  <c r="K32" i="3"/>
  <c r="J32" i="3"/>
  <c r="I32" i="3"/>
  <c r="M31" i="3"/>
  <c r="L31" i="3"/>
  <c r="K31" i="3"/>
  <c r="J31" i="3"/>
  <c r="I31" i="3"/>
  <c r="M30" i="3"/>
  <c r="L30" i="3"/>
  <c r="K30" i="3"/>
  <c r="J30" i="3"/>
  <c r="I30" i="3"/>
  <c r="M29" i="3"/>
  <c r="L29" i="3"/>
  <c r="K29" i="3"/>
  <c r="J29" i="3"/>
  <c r="I29" i="3"/>
  <c r="M28" i="3"/>
  <c r="L28" i="3"/>
  <c r="K28" i="3"/>
  <c r="J28" i="3"/>
  <c r="I28" i="3"/>
  <c r="M27" i="3"/>
  <c r="L27" i="3"/>
  <c r="K27" i="3"/>
  <c r="J27" i="3"/>
  <c r="I27" i="3"/>
  <c r="M26" i="3"/>
  <c r="L26" i="3"/>
  <c r="K26" i="3"/>
  <c r="J26" i="3"/>
  <c r="I26" i="3"/>
  <c r="M25" i="3"/>
  <c r="L25" i="3"/>
  <c r="K25" i="3"/>
  <c r="J25" i="3"/>
  <c r="I25" i="3"/>
  <c r="M24" i="3"/>
  <c r="L24" i="3"/>
  <c r="K24" i="3"/>
  <c r="J24" i="3"/>
  <c r="I24" i="3"/>
  <c r="M23" i="3"/>
  <c r="L23" i="3"/>
  <c r="K23" i="3"/>
  <c r="J23" i="3"/>
  <c r="I23" i="3"/>
  <c r="M22" i="3"/>
  <c r="L22" i="3"/>
  <c r="K22" i="3"/>
  <c r="J22" i="3"/>
  <c r="I22" i="3"/>
  <c r="M21" i="3"/>
  <c r="L21" i="3"/>
  <c r="K21" i="3"/>
  <c r="J21" i="3"/>
  <c r="I21" i="3"/>
  <c r="M20" i="3"/>
  <c r="L20" i="3"/>
  <c r="K20" i="3"/>
  <c r="J20" i="3"/>
  <c r="I20" i="3"/>
  <c r="M19" i="3"/>
  <c r="L19" i="3"/>
  <c r="K19" i="3"/>
  <c r="J19" i="3"/>
  <c r="I19" i="3"/>
  <c r="M18" i="3"/>
  <c r="L18" i="3"/>
  <c r="K18" i="3"/>
  <c r="J18" i="3"/>
  <c r="I18" i="3"/>
  <c r="M17" i="3"/>
  <c r="L17" i="3"/>
  <c r="K17" i="3"/>
  <c r="J17" i="3"/>
  <c r="I17" i="3"/>
  <c r="M16" i="3"/>
  <c r="L16" i="3"/>
  <c r="K16" i="3"/>
  <c r="J16" i="3"/>
  <c r="I16" i="3"/>
  <c r="M15" i="3"/>
  <c r="L15" i="3"/>
  <c r="K15" i="3"/>
  <c r="J15" i="3"/>
  <c r="I15" i="3"/>
  <c r="M14" i="3"/>
  <c r="L14" i="3"/>
  <c r="K14" i="3"/>
  <c r="J14" i="3"/>
  <c r="I14" i="3"/>
  <c r="M13" i="3"/>
  <c r="L13" i="3"/>
  <c r="K13" i="3"/>
  <c r="J13" i="3"/>
  <c r="I13" i="3"/>
  <c r="M12" i="3"/>
  <c r="L12" i="3"/>
  <c r="K12" i="3"/>
  <c r="J12" i="3"/>
  <c r="I12" i="3"/>
  <c r="M11" i="3"/>
  <c r="L11" i="3"/>
  <c r="K11" i="3"/>
  <c r="J11" i="3"/>
  <c r="I11" i="3"/>
  <c r="M10" i="3"/>
  <c r="L10" i="3"/>
  <c r="K10" i="3"/>
  <c r="J10" i="3"/>
  <c r="I10" i="3"/>
  <c r="M9" i="3"/>
  <c r="L9" i="3"/>
  <c r="K9" i="3"/>
  <c r="J9" i="3"/>
  <c r="I9" i="3"/>
  <c r="M8" i="3"/>
  <c r="L8" i="3"/>
  <c r="K8" i="3"/>
  <c r="J8" i="3"/>
  <c r="I8" i="3"/>
  <c r="M7" i="3"/>
  <c r="L7" i="3"/>
  <c r="K7" i="3"/>
  <c r="J7" i="3"/>
  <c r="I7" i="3"/>
  <c r="M6" i="3"/>
  <c r="L6" i="3"/>
  <c r="K6" i="3"/>
  <c r="J6" i="3"/>
  <c r="I6" i="3"/>
  <c r="M5" i="3"/>
  <c r="L5" i="3"/>
  <c r="K5" i="3"/>
  <c r="J5" i="3"/>
  <c r="I5" i="3"/>
  <c r="M4" i="3"/>
  <c r="L4" i="3"/>
  <c r="K4" i="3"/>
  <c r="J4" i="3"/>
  <c r="I4" i="3"/>
  <c r="M3" i="3"/>
  <c r="L3" i="3"/>
  <c r="K3" i="3"/>
  <c r="J3" i="3"/>
  <c r="I3" i="3"/>
  <c r="M2" i="3"/>
  <c r="L2" i="3"/>
  <c r="K2" i="3"/>
  <c r="J2" i="3"/>
  <c r="I2" i="3"/>
</calcChain>
</file>

<file path=xl/sharedStrings.xml><?xml version="1.0" encoding="utf-8"?>
<sst xmlns="http://schemas.openxmlformats.org/spreadsheetml/2006/main" count="6096" uniqueCount="777">
  <si>
    <t>Transaction ID</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</si>
  <si>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</si>
  <si>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</si>
  <si>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</si>
  <si>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</si>
  <si>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</si>
  <si>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</si>
  <si>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</si>
  <si>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</si>
  <si>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</si>
  <si>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</si>
  <si>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</si>
  <si>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</si>
  <si>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</si>
  <si>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</si>
  <si>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</si>
  <si>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</si>
  <si>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</si>
  <si>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</si>
  <si>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</si>
  <si>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</si>
  <si>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</si>
  <si>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</si>
  <si>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</si>
  <si>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</si>
  <si>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</si>
  <si>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</si>
  <si>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</si>
  <si>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</si>
  <si>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</si>
  <si>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</si>
  <si>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</si>
  <si>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</si>
  <si>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</si>
  <si>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</si>
  <si>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</si>
  <si>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</si>
  <si>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</si>
  <si>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</si>
  <si>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</si>
  <si>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</si>
  <si>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</si>
  <si>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</si>
  <si>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</si>
  <si>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</si>
  <si>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</si>
  <si>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</si>
  <si>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</si>
  <si>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</si>
  <si>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</si>
  <si>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</si>
  <si>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</si>
  <si>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</si>
  <si>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</si>
  <si>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</si>
  <si>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</si>
  <si>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</si>
  <si>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</si>
  <si>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</si>
  <si>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</si>
  <si>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</si>
  <si>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</si>
  <si>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</si>
  <si>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</si>
  <si>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</si>
  <si>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</si>
  <si>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</si>
  <si>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</si>
  <si>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</si>
  <si>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</si>
  <si>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</si>
  <si>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</si>
  <si>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</si>
  <si>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</si>
  <si>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</si>
  <si>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</si>
  <si>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</si>
  <si>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</si>
  <si>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</si>
  <si>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</si>
  <si>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</si>
  <si>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</si>
  <si>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</si>
  <si>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</si>
  <si>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</si>
  <si>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</si>
  <si>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</si>
  <si>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</si>
  <si>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</si>
  <si>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</si>
  <si>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</si>
  <si>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</si>
  <si>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</si>
  <si>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</si>
  <si>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</si>
  <si>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</si>
  <si>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</si>
  <si>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</si>
  <si>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</si>
  <si>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</si>
  <si>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</si>
  <si>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</si>
  <si>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</si>
  <si>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</si>
  <si>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</si>
  <si>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</si>
  <si>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</si>
  <si>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</si>
  <si>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</si>
  <si>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</si>
  <si>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</si>
  <si>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</si>
  <si>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</si>
  <si>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</si>
  <si>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</si>
  <si>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</si>
  <si>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</si>
  <si>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</si>
  <si>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</si>
  <si>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</si>
  <si>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</si>
  <si>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</si>
  <si>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</si>
  <si>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</si>
  <si>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</si>
  <si>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</si>
  <si>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</si>
  <si>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</si>
  <si>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</si>
  <si>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</si>
  <si>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</si>
  <si>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</si>
  <si>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</si>
  <si>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</si>
  <si>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</si>
  <si>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</si>
  <si>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</si>
  <si>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</si>
  <si>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</si>
  <si>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</si>
  <si>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</si>
  <si>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</si>
  <si>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</si>
  <si>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</si>
  <si>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</si>
  <si>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</si>
  <si>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</si>
  <si>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</si>
  <si>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</si>
  <si>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</si>
  <si>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</si>
  <si>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</si>
  <si>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</si>
  <si>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</si>
  <si>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</si>
  <si>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</si>
  <si>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</si>
  <si>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</si>
  <si>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</si>
  <si>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</si>
  <si>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</si>
  <si>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</si>
  <si>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</si>
  <si>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</si>
  <si>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</si>
  <si>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</si>
  <si>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</si>
  <si>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</si>
  <si>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</si>
  <si>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</si>
  <si>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</si>
  <si>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</si>
  <si>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</si>
  <si>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</si>
  <si>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</si>
  <si>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</si>
  <si>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</si>
  <si>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</si>
  <si>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</si>
  <si>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</si>
  <si>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</si>
  <si>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</si>
  <si>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</si>
  <si>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</si>
  <si>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</si>
  <si>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</si>
  <si>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</si>
  <si>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</si>
  <si>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</si>
  <si>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</si>
  <si>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</si>
  <si>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</si>
  <si>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</si>
  <si>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</si>
  <si>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</si>
  <si>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</si>
  <si>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</si>
  <si>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</si>
  <si>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</si>
  <si>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</si>
  <si>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</si>
  <si>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</si>
  <si>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</si>
  <si>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</si>
  <si>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</si>
  <si>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</si>
  <si>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</si>
  <si>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</si>
  <si>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</si>
  <si>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</si>
  <si>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</si>
  <si>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</si>
  <si>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</si>
  <si>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</si>
  <si>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</si>
  <si>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</si>
  <si>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</si>
  <si>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</si>
  <si>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</si>
  <si>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</si>
  <si>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</si>
  <si>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</si>
  <si>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</si>
  <si>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</si>
  <si>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</si>
  <si>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</si>
  <si>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</si>
  <si>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</si>
  <si>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</si>
  <si>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</si>
  <si>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</si>
  <si>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</si>
  <si>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</si>
  <si>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</si>
  <si>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</si>
  <si>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</si>
  <si>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</si>
  <si>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</si>
  <si>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</si>
  <si>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</si>
  <si>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</si>
  <si>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</si>
  <si>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</si>
  <si>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</si>
  <si>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</si>
  <si>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</si>
  <si>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</si>
  <si>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</si>
  <si>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</si>
  <si>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</si>
  <si>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</si>
  <si>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</si>
  <si>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</si>
  <si>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</si>
  <si>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</si>
  <si>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</si>
  <si>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</si>
  <si>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</si>
  <si>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</si>
  <si>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</si>
  <si>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</si>
  <si>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</si>
  <si>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</si>
  <si>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</si>
  <si>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</si>
  <si>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</si>
  <si>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</si>
  <si>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</si>
  <si>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</si>
  <si>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</si>
  <si>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</si>
  <si>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</si>
  <si>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</si>
  <si>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</si>
  <si>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</si>
  <si>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</si>
  <si>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</si>
  <si>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</si>
  <si>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</si>
  <si>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</si>
  <si>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</si>
  <si>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</si>
  <si>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</si>
  <si>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</si>
  <si>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</si>
  <si>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</si>
  <si>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</si>
  <si>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</si>
  <si>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</si>
  <si>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</si>
  <si>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</si>
  <si>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</si>
  <si>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</si>
  <si>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</si>
  <si>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</si>
  <si>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</si>
  <si>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</si>
  <si>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</si>
  <si>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</si>
  <si>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</si>
  <si>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</si>
  <si>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</si>
  <si>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</si>
  <si>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</si>
  <si>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</si>
  <si>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</si>
  <si>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</si>
  <si>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</si>
  <si>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</si>
  <si>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</si>
  <si>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</si>
  <si>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</si>
  <si>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</si>
  <si>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</si>
  <si>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</si>
  <si>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</si>
  <si>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</si>
  <si>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</si>
  <si>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</si>
  <si>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</si>
  <si>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</si>
  <si>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</si>
  <si>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</si>
  <si>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</si>
  <si>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</si>
  <si>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</si>
  <si>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</si>
  <si>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</si>
  <si>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</si>
  <si>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</si>
  <si>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</si>
  <si>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</si>
  <si>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</si>
  <si>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</si>
  <si>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</si>
  <si>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</si>
  <si>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</si>
  <si>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</si>
  <si>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</si>
  <si>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</si>
  <si>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</si>
  <si>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</si>
  <si>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</si>
  <si>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</si>
  <si>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</si>
  <si>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</si>
  <si>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</si>
  <si>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</si>
  <si>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</si>
  <si>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</si>
  <si>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</si>
  <si>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</si>
  <si>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</si>
  <si>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</si>
  <si>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</si>
  <si>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</si>
  <si>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</si>
  <si>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</si>
  <si>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</si>
  <si>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</si>
  <si>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</si>
  <si>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</si>
  <si>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</si>
  <si>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</si>
  <si>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</si>
  <si>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</si>
  <si>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</si>
  <si>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</si>
  <si>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</si>
  <si>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</si>
  <si>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</si>
  <si>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</si>
  <si>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</si>
  <si>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</si>
  <si>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</si>
  <si>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</si>
  <si>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</si>
  <si>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</si>
  <si>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</si>
  <si>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</si>
  <si>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</si>
  <si>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</si>
  <si>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</si>
  <si>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</si>
  <si>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</si>
  <si>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</si>
  <si>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</si>
  <si>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</si>
  <si>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</si>
  <si>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</si>
  <si>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</si>
  <si>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</si>
  <si>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</si>
  <si>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</si>
  <si>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</si>
  <si>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</si>
  <si>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</si>
  <si>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</si>
  <si>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</si>
  <si>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</si>
  <si>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</si>
  <si>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</si>
  <si>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</si>
  <si>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</si>
  <si>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</si>
  <si>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</si>
  <si>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</si>
  <si>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</si>
  <si>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</si>
  <si>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</si>
  <si>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</si>
  <si>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</si>
  <si>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</si>
  <si>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</si>
  <si>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</si>
  <si>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</si>
  <si>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</si>
  <si>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</si>
  <si>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</si>
  <si>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</si>
  <si>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</si>
  <si>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</si>
  <si>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</si>
  <si>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</si>
  <si>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</si>
  <si>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</si>
  <si>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</si>
  <si>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</si>
  <si>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</si>
  <si>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</si>
  <si>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</si>
  <si>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</si>
  <si>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</si>
  <si>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</si>
  <si>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</si>
  <si>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</si>
  <si>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</si>
  <si>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</si>
  <si>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</si>
  <si>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</si>
  <si>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</si>
  <si>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</si>
  <si>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</si>
  <si>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</si>
  <si>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</si>
  <si>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</si>
  <si>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</si>
  <si>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</si>
  <si>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</si>
  <si>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</si>
  <si>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</si>
  <si>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</si>
  <si>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</si>
  <si>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</si>
  <si>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</si>
  <si>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</si>
  <si>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</si>
  <si>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</si>
  <si>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</si>
  <si>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</si>
  <si>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</si>
  <si>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</si>
  <si>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</si>
  <si>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</si>
  <si>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</si>
  <si>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</si>
  <si>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</si>
  <si>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</si>
  <si>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</si>
  <si>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</si>
  <si>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</si>
  <si>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</si>
  <si>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</si>
  <si>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</si>
  <si>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</si>
  <si>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</si>
  <si>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</si>
  <si>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</si>
  <si>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</si>
  <si>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</si>
  <si>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</si>
  <si>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</si>
  <si>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</si>
  <si>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</si>
  <si>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</si>
  <si>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</si>
  <si>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</si>
  <si>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</si>
  <si>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</si>
  <si>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</si>
  <si>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</si>
  <si>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</si>
  <si>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</si>
  <si>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</si>
  <si>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</si>
  <si>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</si>
  <si>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</si>
  <si>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</si>
  <si>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</si>
  <si>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</si>
  <si>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</si>
  <si>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</si>
  <si>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</si>
  <si>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</si>
  <si>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</si>
  <si>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</si>
  <si>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</si>
  <si>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</si>
  <si>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</si>
  <si>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</si>
  <si>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</si>
  <si>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</si>
  <si>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</si>
  <si>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</si>
  <si>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</si>
  <si>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</si>
  <si>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</si>
  <si>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</si>
  <si>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</si>
  <si>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</si>
  <si>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</si>
  <si>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</si>
  <si>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</si>
  <si>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</si>
  <si>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</si>
  <si>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</si>
  <si>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</si>
  <si>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</si>
  <si>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</si>
  <si>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</si>
  <si>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</si>
  <si>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</si>
  <si>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</si>
  <si>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</si>
  <si>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</si>
  <si>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</si>
  <si>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</si>
  <si>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</si>
  <si>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</si>
  <si>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</si>
  <si>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</si>
  <si>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</si>
  <si>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</si>
  <si>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</si>
  <si>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</si>
  <si>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</si>
  <si>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</si>
  <si>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</si>
  <si>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</si>
  <si>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</si>
  <si>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</si>
  <si>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</si>
  <si>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</si>
  <si>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</si>
  <si>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</si>
  <si>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</si>
  <si>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</si>
  <si>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</si>
  <si>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</si>
  <si>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</si>
  <si>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</si>
  <si>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</si>
  <si>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</si>
  <si>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</si>
  <si>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</si>
  <si>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</si>
  <si>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</si>
  <si>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</si>
  <si>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</si>
  <si>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</si>
  <si>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</si>
  <si>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</si>
  <si>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</si>
  <si>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</si>
  <si>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</si>
  <si>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</si>
  <si>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</si>
  <si>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</si>
  <si>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</si>
  <si>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</si>
  <si>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</si>
  <si>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</si>
  <si>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</si>
  <si>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</si>
  <si>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</si>
  <si>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</si>
  <si>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</si>
  <si>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</si>
  <si>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</si>
  <si>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</si>
  <si>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</si>
  <si>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</si>
  <si>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</si>
  <si>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</si>
  <si>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</si>
  <si>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</si>
  <si>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</si>
  <si>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</si>
  <si>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</si>
  <si>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</si>
  <si>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</si>
  <si>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</si>
  <si>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</si>
  <si>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</si>
  <si>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</si>
  <si>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</si>
  <si>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</si>
  <si>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</si>
  <si>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</si>
  <si>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</si>
  <si>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</si>
  <si>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</si>
  <si>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</si>
  <si>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</si>
  <si>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</si>
  <si>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</si>
  <si>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</si>
  <si>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</si>
  <si>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</si>
  <si>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</si>
  <si>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</si>
  <si>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</si>
  <si>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</si>
  <si>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</si>
  <si>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</si>
  <si>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</si>
  <si>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</si>
  <si>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</si>
  <si>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</si>
  <si>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</si>
  <si>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</si>
  <si>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</si>
  <si>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</si>
  <si>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</si>
  <si>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</si>
  <si>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</si>
  <si>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</si>
  <si>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</si>
  <si>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</si>
  <si>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</si>
  <si>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</si>
  <si>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</si>
  <si>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</si>
  <si>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</si>
  <si>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</si>
  <si>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</si>
  <si>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</si>
  <si>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</si>
  <si>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</si>
  <si>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</si>
  <si>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</si>
  <si>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</si>
  <si>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</si>
  <si>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</si>
  <si>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</si>
  <si>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</si>
  <si>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</si>
  <si>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</si>
  <si>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</si>
  <si>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</si>
  <si>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</si>
  <si>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</si>
  <si>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</si>
  <si>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</si>
  <si>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</si>
  <si>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</si>
  <si>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</si>
  <si>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</si>
  <si>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</si>
  <si>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</si>
  <si>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</si>
  <si>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</si>
  <si>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</si>
  <si>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</si>
  <si>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</si>
  <si>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</si>
  <si>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</si>
  <si>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</si>
  <si>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</si>
  <si>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</si>
  <si>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</si>
  <si>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</si>
  <si>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</si>
  <si>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</si>
  <si>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</si>
  <si>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</si>
  <si>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</si>
  <si>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</si>
  <si>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</si>
  <si>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</si>
  <si>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</si>
  <si>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</si>
  <si>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</si>
  <si>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</si>
  <si>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</si>
  <si>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</si>
  <si>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</si>
  <si>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</si>
  <si>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</si>
  <si>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</si>
  <si>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</si>
  <si>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</si>
  <si>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</si>
  <si>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</si>
  <si>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</si>
  <si>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</si>
  <si>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</si>
  <si>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</si>
  <si>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</si>
  <si>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</si>
  <si>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</si>
  <si>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</si>
  <si>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</si>
  <si>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</si>
  <si>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</si>
  <si>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</si>
  <si>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transaction_id</t>
  </si>
  <si>
    <t>date</t>
  </si>
  <si>
    <t>customer_id</t>
  </si>
  <si>
    <t>gender</t>
  </si>
  <si>
    <t>age</t>
  </si>
  <si>
    <t>product_category</t>
  </si>
  <si>
    <t>quantity</t>
  </si>
  <si>
    <t>price_per_unit</t>
  </si>
  <si>
    <t>total_amount</t>
  </si>
  <si>
    <t>month</t>
  </si>
  <si>
    <t>year</t>
  </si>
  <si>
    <t>age_group</t>
  </si>
  <si>
    <t>Row Labels</t>
  </si>
  <si>
    <t>January</t>
  </si>
  <si>
    <t>February</t>
  </si>
  <si>
    <t>March</t>
  </si>
  <si>
    <t>April</t>
  </si>
  <si>
    <t>May</t>
  </si>
  <si>
    <t>June</t>
  </si>
  <si>
    <t>July</t>
  </si>
  <si>
    <t>August</t>
  </si>
  <si>
    <t>September</t>
  </si>
  <si>
    <t>October</t>
  </si>
  <si>
    <t>November</t>
  </si>
  <si>
    <t>December</t>
  </si>
  <si>
    <t>Grand Total</t>
  </si>
  <si>
    <t>Sum of total_amount</t>
  </si>
  <si>
    <t>18-25</t>
  </si>
  <si>
    <t>26-35</t>
  </si>
  <si>
    <t>36-45</t>
  </si>
  <si>
    <t>46+</t>
  </si>
  <si>
    <t>Total Sales</t>
  </si>
  <si>
    <t>Total Orders</t>
  </si>
  <si>
    <t>Statistics Summary Table</t>
  </si>
  <si>
    <t>Mean Sales</t>
  </si>
  <si>
    <t>Median Sales</t>
  </si>
  <si>
    <t>Mode</t>
  </si>
  <si>
    <t>Variance</t>
  </si>
  <si>
    <t>Standard Deviation</t>
  </si>
  <si>
    <t>Minimum Sale</t>
  </si>
  <si>
    <t>Maximum Sale</t>
  </si>
  <si>
    <t>Range</t>
  </si>
  <si>
    <t>Q1</t>
  </si>
  <si>
    <t>Q2</t>
  </si>
  <si>
    <t>Q3</t>
  </si>
  <si>
    <t>IQR</t>
  </si>
  <si>
    <t>month_number</t>
  </si>
  <si>
    <t>CUST05</t>
  </si>
  <si>
    <t>Average age</t>
  </si>
  <si>
    <t>Unit Sold</t>
  </si>
  <si>
    <t>Average sales value</t>
  </si>
  <si>
    <t>RETAIL SALES ANALYTICS DASHBOARD</t>
  </si>
  <si>
    <r>
      <rPr>
        <sz val="14"/>
        <color theme="7" tint="0.39997558519241921"/>
        <rFont val="Calibri"/>
        <family val="2"/>
        <scheme val="minor"/>
      </rPr>
      <t>💰</t>
    </r>
    <r>
      <rPr>
        <sz val="14"/>
        <color theme="0"/>
        <rFont val="Calibri"/>
        <family val="2"/>
        <scheme val="minor"/>
      </rPr>
      <t xml:space="preserve"> </t>
    </r>
    <r>
      <rPr>
        <sz val="12"/>
        <color theme="0"/>
        <rFont val="Calibri"/>
        <family val="2"/>
        <scheme val="minor"/>
      </rPr>
      <t>Total Sales</t>
    </r>
    <r>
      <rPr>
        <sz val="14"/>
        <color theme="0"/>
        <rFont val="Calibri"/>
        <family val="2"/>
        <scheme val="minor"/>
      </rPr>
      <t xml:space="preserve"> </t>
    </r>
  </si>
  <si>
    <r>
      <t xml:space="preserve">🛒  </t>
    </r>
    <r>
      <rPr>
        <sz val="12"/>
        <color theme="0"/>
        <rFont val="Calibri"/>
        <family val="2"/>
        <scheme val="minor"/>
      </rPr>
      <t>Total Order</t>
    </r>
    <r>
      <rPr>
        <sz val="14"/>
        <color theme="0"/>
        <rFont val="Calibri"/>
        <family val="2"/>
        <scheme val="minor"/>
      </rPr>
      <t>s</t>
    </r>
  </si>
  <si>
    <r>
      <rPr>
        <sz val="14"/>
        <color theme="7" tint="0.79998168889431442"/>
        <rFont val="Calibri"/>
        <family val="2"/>
        <scheme val="minor"/>
      </rPr>
      <t xml:space="preserve">🔖 </t>
    </r>
    <r>
      <rPr>
        <sz val="14"/>
        <color theme="0"/>
        <rFont val="Calibri"/>
        <family val="2"/>
        <scheme val="minor"/>
      </rPr>
      <t xml:space="preserve"> </t>
    </r>
    <r>
      <rPr>
        <sz val="12"/>
        <color theme="0"/>
        <rFont val="Calibri"/>
        <family val="2"/>
        <scheme val="minor"/>
      </rPr>
      <t>Unit Sold</t>
    </r>
    <r>
      <rPr>
        <sz val="14"/>
        <color theme="0"/>
        <rFont val="Calibri"/>
        <family val="2"/>
        <scheme val="minor"/>
      </rPr>
      <t xml:space="preserve"> </t>
    </r>
  </si>
  <si>
    <r>
      <rPr>
        <b/>
        <sz val="12"/>
        <color theme="9"/>
        <rFont val="Calibri"/>
        <family val="2"/>
        <scheme val="minor"/>
      </rPr>
      <t xml:space="preserve">💵 </t>
    </r>
    <r>
      <rPr>
        <sz val="12"/>
        <color theme="0"/>
        <rFont val="Calibri"/>
        <family val="2"/>
        <scheme val="minor"/>
      </rPr>
      <t>Avg Sales Valu</t>
    </r>
    <r>
      <rPr>
        <b/>
        <sz val="12"/>
        <color theme="0"/>
        <rFont val="Calibri"/>
        <family val="2"/>
        <scheme val="minor"/>
      </rPr>
      <t>e</t>
    </r>
  </si>
  <si>
    <r>
      <t xml:space="preserve">👤  </t>
    </r>
    <r>
      <rPr>
        <sz val="12"/>
        <color theme="0"/>
        <rFont val="Calibri"/>
        <family val="2"/>
        <scheme val="minor"/>
      </rPr>
      <t>Avg Age</t>
    </r>
  </si>
  <si>
    <t>Female_Sales</t>
  </si>
  <si>
    <t>Male_Sales</t>
  </si>
  <si>
    <t>P-value (T-Test)</t>
  </si>
  <si>
    <t>Since p = 0.5134 &gt;0.005, There is no significant diffrence between Male and Female average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</si>
</sst>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 #,##0.00_ ;_ * \-#,##0.00_ ;_ * &quot;-&quot;??_ ;_ @_ "/>
    <numFmt numFmtId="164" formatCode="[$-14009]yyyy/mm/dd;@"/>
    <numFmt numFmtId="165" formatCode="[$$-409]#,##0.00"/>
    <numFmt numFmtId="166" formatCode="[$$-409]#,##0_ ;\-[$$-409]#,##0\ "/>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9"/>
      <name val="Calibri"/>
      <family val="2"/>
      <scheme val="minor"/>
    </font>
    <font>
      <b/>
      <sz val="12"/>
      <color theme="0"/>
      <name val="Calibri"/>
      <family val="2"/>
      <scheme val="minor"/>
    </font>
    <font>
      <b/>
      <sz val="14"/>
      <color theme="0"/>
      <name val="Calibri"/>
      <family val="2"/>
      <scheme val="minor"/>
    </font>
    <font>
      <sz val="14"/>
      <color theme="7" tint="0.79998168889431442"/>
      <name val="Calibri"/>
      <family val="2"/>
      <scheme val="minor"/>
    </font>
    <font>
      <b/>
      <sz val="20"/>
      <color theme="0"/>
      <name val="Calibri"/>
      <family val="2"/>
      <scheme val="minor"/>
    </font>
    <font>
      <b/>
      <sz val="18"/>
      <color theme="0"/>
      <name val="Calibri"/>
      <family val="2"/>
      <scheme val="minor"/>
    </font>
    <font>
      <b/>
      <sz val="14"/>
      <color theme="1"/>
      <name val="Calibri"/>
      <family val="2"/>
      <scheme val="minor"/>
    </font>
    <font>
      <sz val="14"/>
      <color theme="0"/>
      <name val="Calibri"/>
      <family val="2"/>
      <scheme val="minor"/>
    </font>
    <font>
      <sz val="14"/>
      <color theme="7" tint="0.39997558519241921"/>
      <name val="Calibri"/>
      <family val="2"/>
      <scheme val="minor"/>
    </font>
    <font>
      <sz val="12"/>
      <color theme="0"/>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17557B"/>
        <bgColor indexed="64"/>
      </patternFill>
    </fill>
    <fill>
      <patternFill patternType="solid">
        <fgColor theme="8" tint="0.79998168889431442"/>
        <bgColor indexed="64"/>
      </patternFill>
    </fill>
    <fill>
      <patternFill patternType="solid">
        <fgColor theme="4" tint="0.59999389629810485"/>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38">
    <xf numFmtId="0" fontId="0" fillId="0" borderId="0" xfId="0"/>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Alignment="1">
      <alignment horizontal="center"/>
    </xf>
    <xf numFmtId="0" fontId="0" fillId="34" borderId="0" xfId="0" applyFill="1" applyBorder="1"/>
    <xf numFmtId="0" fontId="0" fillId="34" borderId="0" xfId="0" applyFill="1" applyBorder="1" applyAlignment="1">
      <alignment horizontal="left"/>
    </xf>
    <xf numFmtId="0" fontId="16" fillId="0" borderId="0" xfId="0" applyFont="1" applyAlignment="1">
      <alignment horizontal="center"/>
    </xf>
    <xf numFmtId="0" fontId="16" fillId="36" borderId="13" xfId="0" applyFont="1" applyFill="1" applyBorder="1" applyAlignment="1">
      <alignment horizontal="center"/>
    </xf>
    <xf numFmtId="0" fontId="0" fillId="36" borderId="13" xfId="0" applyFill="1" applyBorder="1" applyAlignment="1">
      <alignment horizontal="center"/>
    </xf>
    <xf numFmtId="0" fontId="0" fillId="0" borderId="0" xfId="0" applyFill="1"/>
    <xf numFmtId="43" fontId="0" fillId="0" borderId="0" xfId="42" applyFont="1"/>
    <xf numFmtId="0" fontId="0" fillId="0" borderId="0" xfId="0" applyBorder="1"/>
    <xf numFmtId="0" fontId="0" fillId="0" borderId="0" xfId="0" applyAlignment="1">
      <alignment horizontal="center" vertical="center"/>
    </xf>
    <xf numFmtId="0" fontId="0" fillId="38" borderId="15" xfId="0" applyFill="1" applyBorder="1" applyAlignment="1">
      <alignment horizontal="center"/>
    </xf>
    <xf numFmtId="0" fontId="16" fillId="38" borderId="14" xfId="0" applyFont="1" applyFill="1" applyBorder="1" applyAlignment="1">
      <alignment horizontal="center"/>
    </xf>
    <xf numFmtId="0" fontId="0" fillId="38" borderId="16" xfId="0" applyFill="1" applyBorder="1" applyAlignment="1">
      <alignment horizont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16" fillId="39" borderId="13" xfId="0" applyFont="1" applyFill="1" applyBorder="1" applyAlignment="1">
      <alignment horizontal="center" vertical="center"/>
    </xf>
    <xf numFmtId="0" fontId="16" fillId="39" borderId="21" xfId="0" applyFont="1" applyFill="1" applyBorder="1" applyAlignment="1">
      <alignment horizontal="center" vertical="center"/>
    </xf>
    <xf numFmtId="0" fontId="22" fillId="33" borderId="0" xfId="0" applyFont="1" applyFill="1" applyBorder="1" applyAlignment="1">
      <alignment horizontal="center" vertical="center"/>
    </xf>
    <xf numFmtId="0" fontId="25" fillId="37" borderId="0" xfId="0" applyFont="1" applyFill="1" applyBorder="1" applyAlignment="1">
      <alignment horizontal="center"/>
    </xf>
    <xf numFmtId="0" fontId="19" fillId="37" borderId="0" xfId="0" applyFont="1" applyFill="1" applyBorder="1" applyAlignment="1">
      <alignment horizontal="center"/>
    </xf>
    <xf numFmtId="0" fontId="20" fillId="37" borderId="0" xfId="0" applyFont="1" applyFill="1" applyBorder="1" applyAlignment="1">
      <alignment horizontal="center"/>
    </xf>
    <xf numFmtId="166" fontId="23" fillId="37" borderId="0" xfId="0" applyNumberFormat="1" applyFont="1" applyFill="1" applyBorder="1" applyAlignment="1">
      <alignment horizontal="center" vertical="center"/>
    </xf>
    <xf numFmtId="0" fontId="22" fillId="37" borderId="0" xfId="0" applyFont="1" applyFill="1" applyBorder="1" applyAlignment="1">
      <alignment horizontal="center" vertical="center"/>
    </xf>
    <xf numFmtId="0" fontId="23" fillId="37" borderId="0" xfId="0" applyFont="1" applyFill="1" applyBorder="1" applyAlignment="1">
      <alignment horizontal="center" vertical="center"/>
    </xf>
    <xf numFmtId="0" fontId="24" fillId="35" borderId="10" xfId="0" applyFont="1" applyFill="1" applyBorder="1" applyAlignment="1">
      <alignment horizontal="center" vertical="center"/>
    </xf>
    <xf numFmtId="0" fontId="24" fillId="35" borderId="11" xfId="0" applyFont="1" applyFill="1" applyBorder="1" applyAlignment="1">
      <alignment horizontal="center" vertical="center"/>
    </xf>
    <xf numFmtId="0" fontId="24" fillId="35" borderId="12"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409]#,##0.00"/>
      <alignment horizontal="center" vertical="bottom" textRotation="0" wrapText="0" indent="0" justifyLastLine="0" shrinkToFit="0" readingOrder="0"/>
    </dxf>
    <dxf>
      <numFmt numFmtId="165" formatCode="[$$-409]#,##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14009]yyyy/mm/dd;@"/>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readingOrder="0"/>
    </dxf>
    <dxf>
      <alignment horizontal="center" readingOrder="0"/>
    </dxf>
    <dxf>
      <alignment horizontal="center" readingOrder="0"/>
    </dxf>
  </dxfs>
  <tableStyles count="0" defaultTableStyle="TableStyleMedium2" defaultPivotStyle="PivotStyleLight16"/>
  <colors>
    <mruColors>
      <color rgb="FF99CCFF"/>
      <color rgb="FF9999FF"/>
      <color rgb="FF17557B"/>
      <color rgb="FF1F50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[P-1.1_retail_sales_analytics_excel.xlsx]Pivot_table &amp; Chart!Monthly Sales</c:name>
    <c:fmtId val="6"/>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Monthly Sales</a:t>
            </a:r>
          </a:p>
        </c:rich>
      </c:tx>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103271321853999"/>
          <c:y val="0.19090909090909092"/>
          <c:w val="0.85743843558016786"/>
          <c:h val="0.53440098913255674"/>
        </c:manualLayout>
      </c:layout>
      <c:lineChart>
        <c:grouping val="standard"/>
        <c:varyColors val="0"/>
        <c:ser>
          <c:idx val="0"/>
          <c:order val="0"/>
          <c:tx>
            <c:strRef>
              <c:f>'Pivot_table &amp; Chart'!$B$3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 &amp; Chart'!$A$4:$A$16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 &amp; Chart'!$B$4:$B$16</c:f>
              <c:numCache>
                <c:formatCode>General</c:formatCode>
                <c:ptCount val="12"/>
                <c:pt idx="0">
                  <c:v>35740</c:v>
                </c:pt>
                <c:pt idx="1">
                  <c:v>49040</c:v>
                </c:pt>
                <c:pt idx="2">
                  <c:v>30340</c:v>
                </c:pt>
                <c:pt idx="3">
                  <c:v>39645</c:v>
                </c:pt>
                <c:pt idx="4">
                  <c:v>51295</c:v>
                </c:pt>
                <c:pt idx="5">
                  <c:v>38055</c:v>
                </c:pt>
                <c:pt idx="6">
                  <c:v>36240</c:v>
                </c:pt>
                <c:pt idx="7">
                  <c:v>46045</c:v>
                </c:pt>
                <c:pt idx="8">
                  <c:v>37190</c:v>
                </c:pt>
                <c:pt idx="9">
                  <c:v>38320</c:v>
                </c:pt>
                <c:pt idx="10">
                  <c:v>26895</c:v>
                </c:pt>
                <c:pt idx="11">
                  <c:v>34765</c:v>
                </c:pt>
              </c:numCache>
            </c:numRef>
          </c:val>
          <c:smooth val="0"/>
        </c:ser>
        <c:dLbls>
          <c:showLegendKey val="0"/>
          <c:showVal val="0"/>
          <c:showCatName val="0"/>
          <c:showSerName val="0"/>
          <c:showPercent val="0"/>
          <c:showBubbleSize val="0"/>
        </c:dLbls>
        <c:marker val="1"/>
        <c:smooth val="0"/>
        <c:axId val="363019168"/>
        <c:axId val="306902312"/>
      </c:lineChart>
      <c:catAx>
        <c:axId val="3630191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902312"/>
        <c:crosses val="autoZero"/>
        <c:auto val="1"/>
        <c:lblAlgn val="ctr"/>
        <c:lblOffset val="100"/>
        <c:noMultiLvlLbl val="0"/>
      </c:catAx>
      <c:valAx>
        <c:axId val="306902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019168"/>
        <c:crosses val="autoZero"/>
        <c:crossBetween val="between"/>
      </c:valAx>
      <c:spPr>
        <a:noFill/>
        <a:ln>
          <a:noFill/>
        </a:ln>
        <a:effectLst>
          <a:outerShdw blurRad="63500" sx="102000" sy="102000" algn="ctr" rotWithShape="0">
            <a:prstClr val="black">
              <a:alpha val="40000"/>
            </a:prstClr>
          </a:outerShdw>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[P-1.1_retail_sales_analytics_excel.xlsx]Pivot_table &amp; Chart!Gender wise revenue</c:name>
    <c:fmtId val="8"/>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baseline="0">
                <a:solidFill>
                  <a:schemeClr val="tx1">
                    <a:lumMod val="65000"/>
                    <a:lumOff val="35000"/>
                  </a:schemeClr>
                </a:solidFill>
                <a:effectLst/>
              </a:rPr>
              <a:t>Gender wise Revenue</a:t>
            </a:r>
            <a:endParaRPr lang="en-IN" sz="1200" b="1">
              <a:solidFill>
                <a:schemeClr val="tx1">
                  <a:lumMod val="65000"/>
                  <a:lumOff val="35000"/>
                </a:schemeClr>
              </a:solidFill>
              <a:effectLst/>
            </a:endParaRPr>
          </a:p>
        </c:rich>
      </c:tx>
      <c:layout>
        <c:manualLayout>
          <c:xMode val="edge"/>
          <c:yMode val="edge"/>
          <c:x val="0.21795548790601918"/>
          <c:y val="3.418803418803419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glow rad="63500">
              <a:schemeClr val="accent1">
                <a:satMod val="175000"/>
                <a:alpha val="40000"/>
              </a:schemeClr>
            </a:glow>
            <a:innerShdw blurRad="63500" dist="50800" dir="13500000">
              <a:prstClr val="black">
                <a:alpha val="50000"/>
              </a:prstClr>
            </a:inn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glow rad="63500">
              <a:schemeClr val="accent1">
                <a:satMod val="175000"/>
                <a:alpha val="40000"/>
              </a:schemeClr>
            </a:glow>
            <a:innerShdw blurRad="63500" dist="50800" dir="13500000">
              <a:prstClr val="black">
                <a:alpha val="50000"/>
              </a:prstClr>
            </a:innerShdw>
          </a:effectLst>
          <a:scene3d>
            <a:camera prst="orthographicFront"/>
            <a:lightRig rig="threePt" dir="t"/>
          </a:scene3d>
          <a:sp3d>
            <a:bevelT/>
          </a:sp3d>
        </c:spPr>
        <c:dLbl>
          <c:idx val="0"/>
          <c:layout>
            <c:manualLayout>
              <c:x val="0.11320754716981132"/>
              <c:y val="-0.152832674571804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glow rad="63500">
              <a:schemeClr val="accent1">
                <a:satMod val="175000"/>
                <a:alpha val="40000"/>
              </a:schemeClr>
            </a:glow>
            <a:innerShdw blurRad="63500" dist="50800" dir="13500000">
              <a:prstClr val="black">
                <a:alpha val="50000"/>
              </a:prstClr>
            </a:innerShdw>
          </a:effectLst>
          <a:scene3d>
            <a:camera prst="orthographicFront"/>
            <a:lightRig rig="threePt" dir="t"/>
          </a:scene3d>
          <a:sp3d>
            <a:bevelT/>
          </a:sp3d>
        </c:spPr>
        <c:dLbl>
          <c:idx val="0"/>
          <c:layout>
            <c:manualLayout>
              <c:x val="-7.5471698113207544E-2"/>
              <c:y val="-0.126482213438735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glow rad="63500">
              <a:schemeClr val="accent1">
                <a:satMod val="175000"/>
                <a:alpha val="40000"/>
              </a:schemeClr>
            </a:glow>
            <a:innerShdw blurRad="63500" dist="50800" dir="13500000">
              <a:prstClr val="black">
                <a:alpha val="50000"/>
              </a:prstClr>
            </a:inn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glow rad="63500">
              <a:schemeClr val="accent1">
                <a:satMod val="175000"/>
                <a:alpha val="40000"/>
              </a:schemeClr>
            </a:glow>
            <a:innerShdw blurRad="63500" dist="50800" dir="13500000">
              <a:prstClr val="black">
                <a:alpha val="50000"/>
              </a:prstClr>
            </a:innerShdw>
          </a:effectLst>
          <a:scene3d>
            <a:camera prst="orthographicFront"/>
            <a:lightRig rig="threePt" dir="t"/>
          </a:scene3d>
          <a:sp3d>
            <a:bevelT/>
          </a:sp3d>
        </c:spPr>
        <c:dLbl>
          <c:idx val="0"/>
          <c:layout>
            <c:manualLayout>
              <c:x val="0.11320754716981132"/>
              <c:y val="-0.152832674571804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a:glow rad="63500">
              <a:schemeClr val="accent1">
                <a:satMod val="175000"/>
                <a:alpha val="40000"/>
              </a:schemeClr>
            </a:glow>
            <a:innerShdw blurRad="63500" dist="50800" dir="13500000">
              <a:prstClr val="black">
                <a:alpha val="50000"/>
              </a:prstClr>
            </a:innerShdw>
          </a:effectLst>
          <a:scene3d>
            <a:camera prst="orthographicFront"/>
            <a:lightRig rig="threePt" dir="t"/>
          </a:scene3d>
          <a:sp3d>
            <a:bevelT/>
          </a:sp3d>
        </c:spPr>
        <c:dLbl>
          <c:idx val="0"/>
          <c:layout>
            <c:manualLayout>
              <c:x val="-7.5471698113207544E-2"/>
              <c:y val="-0.126482213438735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glow rad="63500">
              <a:schemeClr val="accent1">
                <a:satMod val="175000"/>
                <a:alpha val="40000"/>
              </a:schemeClr>
            </a:glow>
            <a:innerShdw blurRad="63500" dist="50800" dir="13500000">
              <a:prstClr val="black">
                <a:alpha val="50000"/>
              </a:prstClr>
            </a:innerShdw>
          </a:effectLst>
          <a:scene3d>
            <a:camera prst="orthographicFront"/>
            <a:lightRig rig="threePt" dir="t"/>
          </a:scene3d>
          <a:sp3d>
            <a:bevel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chemeClr val="accent1"/>
          </a:solidFill>
          <a:ln w="19050">
            <a:solidFill>
              <a:schemeClr val="lt1"/>
            </a:solidFill>
          </a:ln>
          <a:effectLst>
            <a:glow rad="63500">
              <a:schemeClr val="accent1">
                <a:satMod val="175000"/>
                <a:alpha val="40000"/>
              </a:schemeClr>
            </a:glow>
            <a:innerShdw blurRad="63500" dist="50800" dir="13500000">
              <a:prstClr val="black">
                <a:alpha val="50000"/>
              </a:prstClr>
            </a:innerShdw>
          </a:effectLst>
          <a:scene3d>
            <a:camera prst="orthographicFront"/>
            <a:lightRig rig="threePt" dir="t"/>
          </a:scene3d>
          <a:sp3d>
            <a:bevelT/>
          </a:sp3d>
        </c:spPr>
      </c:pivotFmt>
      <c:pivotFmt>
        <c:idx val="12"/>
        <c:spPr>
          <a:solidFill>
            <a:schemeClr val="accent1"/>
          </a:solidFill>
          <a:ln w="19050">
            <a:solidFill>
              <a:schemeClr val="lt1"/>
            </a:solidFill>
          </a:ln>
          <a:effectLst>
            <a:glow rad="63500">
              <a:schemeClr val="accent1">
                <a:satMod val="175000"/>
                <a:alpha val="40000"/>
              </a:schemeClr>
            </a:glow>
            <a:innerShdw blurRad="63500" dist="50800" dir="13500000">
              <a:prstClr val="black">
                <a:alpha val="50000"/>
              </a:prstClr>
            </a:innerShdw>
          </a:effectLst>
          <a:scene3d>
            <a:camera prst="orthographicFront"/>
            <a:lightRig rig="threePt" dir="t"/>
          </a:scene3d>
          <a:sp3d>
            <a:bevelT/>
          </a:sp3d>
        </c:spPr>
      </c:pivotFmt>
    </c:pivotFmts>
    <c:plotArea>
      <c:layout>
        <c:manualLayout>
          <c:layoutTarget val="inner"/>
          <c:xMode val="edge"/>
          <c:yMode val="edge"/>
          <c:x val="0.27518462194066623"/>
          <c:y val="0.30533324360096015"/>
          <c:w val="0.44963110033781667"/>
          <c:h val="0.58605783251452548"/>
        </c:manualLayout>
      </c:layout>
      <c:doughnutChart>
        <c:varyColors val="1"/>
        <c:ser>
          <c:idx val="0"/>
          <c:order val="0"/>
          <c:tx>
            <c:strRef>
              <c:f>'Pivot_table &amp; Chart'!$B$28</c:f>
              <c:strCache>
                <c:ptCount val="1"/>
                <c:pt idx="0">
                  <c:v>Total</c:v>
                </c:pt>
              </c:strCache>
            </c:strRef>
          </c:tx>
          <c:spPr>
            <a:effectLst>
              <a:glow rad="63500">
                <a:schemeClr val="accent1">
                  <a:satMod val="175000"/>
                  <a:alpha val="40000"/>
                </a:schemeClr>
              </a:glow>
              <a:innerShdw blurRad="63500" dist="50800" dir="13500000">
                <a:prstClr val="black">
                  <a:alpha val="50000"/>
                </a:prstClr>
              </a:innerShdw>
            </a:effectLst>
            <a:scene3d>
              <a:camera prst="orthographicFront"/>
              <a:lightRig rig="threePt" dir="t"/>
            </a:scene3d>
            <a:sp3d>
              <a:bevelT/>
            </a:sp3d>
          </c:spPr>
          <c:dPt>
            <c:idx val="0"/>
            <c:bubble3D val="0"/>
            <c:spPr>
              <a:solidFill>
                <a:schemeClr val="accent1"/>
              </a:solidFill>
              <a:ln w="19050">
                <a:solidFill>
                  <a:schemeClr val="lt1"/>
                </a:solidFill>
              </a:ln>
              <a:effectLst>
                <a:glow rad="63500">
                  <a:schemeClr val="accent1">
                    <a:satMod val="175000"/>
                    <a:alpha val="40000"/>
                  </a:schemeClr>
                </a:glow>
                <a:innerShdw blurRad="63500" dist="50800" dir="13500000">
                  <a:prstClr val="black">
                    <a:alpha val="50000"/>
                  </a:prstClr>
                </a:innerShdw>
              </a:effectLst>
              <a:scene3d>
                <a:camera prst="orthographicFront"/>
                <a:lightRig rig="threePt" dir="t"/>
              </a:scene3d>
              <a:sp3d>
                <a:bevelT/>
              </a:sp3d>
            </c:spPr>
          </c:dPt>
          <c:dPt>
            <c:idx val="1"/>
            <c:bubble3D val="0"/>
            <c:spPr>
              <a:solidFill>
                <a:schemeClr val="accent2"/>
              </a:solidFill>
              <a:ln w="19050">
                <a:solidFill>
                  <a:schemeClr val="lt1"/>
                </a:solidFill>
              </a:ln>
              <a:effectLst>
                <a:glow rad="63500">
                  <a:schemeClr val="accent1">
                    <a:satMod val="175000"/>
                    <a:alpha val="40000"/>
                  </a:schemeClr>
                </a:glow>
                <a:innerShdw blurRad="63500" dist="50800" dir="13500000">
                  <a:prstClr val="black">
                    <a:alpha val="50000"/>
                  </a:prstClr>
                </a:innerShdw>
              </a:effectLst>
              <a:scene3d>
                <a:camera prst="orthographicFront"/>
                <a:lightRig rig="threePt" dir="t"/>
              </a:scene3d>
              <a:sp3d>
                <a:bevel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 &amp; Chart'!$A$29:$A$31</c:f>
              <c:strCache>
                <c:ptCount val="2"/>
                <c:pt idx="0">
                  <c:v>Female</c:v>
                </c:pt>
                <c:pt idx="1">
                  <c:v>Male</c:v>
                </c:pt>
              </c:strCache>
            </c:strRef>
          </c:cat>
          <c:val>
            <c:numRef>
              <c:f>'Pivot_table &amp; Chart'!$B$29:$B$31</c:f>
              <c:numCache>
                <c:formatCode>General</c:formatCode>
                <c:ptCount val="2"/>
                <c:pt idx="0">
                  <c:v>247125</c:v>
                </c:pt>
                <c:pt idx="1">
                  <c:v>216445</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[P-1.1_retail_sales_analytics_excel.xlsx]Pivot_table &amp; Chart!Category wise sales</c:name>
    <c:fmtId val="4"/>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Category Wise Sales</a:t>
            </a:r>
          </a:p>
        </c:rich>
      </c:tx>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solidFill>
            <a:srgbClr val="99CCFF"/>
          </a:solidFill>
          <a:ln>
            <a:noFill/>
          </a:ln>
          <a:effectLst>
            <a:outerShdw blurRad="57150" dist="19050" dir="5400000" algn="ctr" rotWithShape="0">
              <a:srgbClr val="000000">
                <a:alpha val="63000"/>
              </a:srgbClr>
            </a:outerShdw>
          </a:effectLst>
        </c:spPr>
      </c:pivotFmt>
      <c:pivotFmt>
        <c:idx val="6"/>
        <c:spPr>
          <a:solidFill>
            <a:srgbClr val="9999FF"/>
          </a:solidFill>
          <a:ln>
            <a:noFill/>
          </a:ln>
          <a:effectLst>
            <a:outerShdw blurRad="57150" dist="19050" dir="5400000" algn="ctr" rotWithShape="0">
              <a:srgbClr val="000000">
                <a:alpha val="63000"/>
              </a:srgbClr>
            </a:outerShdw>
          </a:effectLst>
        </c:spPr>
      </c:pivotFmt>
      <c:pivotFmt>
        <c:idx val="7"/>
        <c:spPr>
          <a:solidFill>
            <a:schemeClr val="accent3">
              <a:lumMod val="75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'Pivot_table &amp; Chart'!$B$20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99CCFF"/>
              </a:solidFill>
              <a:ln>
                <a:noFill/>
              </a:ln>
              <a:effectLst>
                <a:outerShdw blurRad="57150" dist="19050" dir="5400000" algn="ctr" rotWithShape="0">
                  <a:srgbClr val="000000">
                    <a:alpha val="63000"/>
                  </a:srgbClr>
                </a:outerShdw>
              </a:effectLst>
            </c:spPr>
          </c:dPt>
          <c:dPt>
            <c:idx val="1"/>
            <c:invertIfNegative val="0"/>
            <c:bubble3D val="0"/>
            <c:spPr>
              <a:solidFill>
                <a:srgbClr val="9999FF"/>
              </a:solidFill>
              <a:ln>
                <a:noFill/>
              </a:ln>
              <a:effectLst>
                <a:outerShdw blurRad="57150" dist="19050" dir="5400000" algn="ctr" rotWithShape="0">
                  <a:srgbClr val="000000">
                    <a:alpha val="63000"/>
                  </a:srgbClr>
                </a:outerShdw>
              </a:effectLst>
            </c:spPr>
          </c:dPt>
          <c:dPt>
            <c:idx val="2"/>
            <c:invertIfNegative val="0"/>
            <c:bubble3D val="0"/>
            <c:spPr>
              <a:solidFill>
                <a:schemeClr val="accent3">
                  <a:lumMod val="75000"/>
                </a:schemeClr>
              </a:solidFill>
              <a:ln>
                <a:noFill/>
              </a:ln>
              <a:effectLst>
                <a:outerShdw blurRad="57150" dist="19050" dir="5400000" algn="ctr" rotWithShape="0">
                  <a:srgbClr val="000000">
                    <a:alpha val="63000"/>
                  </a:srgbClr>
                </a:outerShdw>
              </a:effectLst>
            </c:spPr>
          </c:dPt>
          <c:cat>
            <c:strRef>
              <c:f>'Pivot_table &amp; Chart'!$A$21:$A$24</c:f>
              <c:strCache>
                <c:ptCount val="3"/>
                <c:pt idx="0">
                  <c:v>Beauty</c:v>
                </c:pt>
                <c:pt idx="1">
                  <c:v>Clothing</c:v>
                </c:pt>
                <c:pt idx="2">
                  <c:v>Electronics</c:v>
                </c:pt>
              </c:strCache>
            </c:strRef>
          </c:cat>
          <c:val>
            <c:numRef>
              <c:f>'Pivot_table &amp; Chart'!$B$21:$B$24</c:f>
              <c:numCache>
                <c:formatCode>General</c:formatCode>
                <c:ptCount val="3"/>
                <c:pt idx="0">
                  <c:v>147315</c:v>
                </c:pt>
                <c:pt idx="1">
                  <c:v>158800</c:v>
                </c:pt>
                <c:pt idx="2">
                  <c:v>157455</c:v>
                </c:pt>
              </c:numCache>
            </c:numRef>
          </c:val>
        </c:ser>
        <c:dLbls>
          <c:showLegendKey val="0"/>
          <c:showVal val="0"/>
          <c:showCatName val="0"/>
          <c:showSerName val="0"/>
          <c:showPercent val="0"/>
          <c:showBubbleSize val="0"/>
        </c:dLbls>
        <c:gapWidth val="100"/>
        <c:overlap val="-24"/>
        <c:axId val="363331504"/>
        <c:axId val="363696664"/>
      </c:barChart>
      <c:catAx>
        <c:axId val="363331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696664"/>
        <c:crosses val="autoZero"/>
        <c:auto val="1"/>
        <c:lblAlgn val="ctr"/>
        <c:lblOffset val="100"/>
        <c:noMultiLvlLbl val="0"/>
      </c:catAx>
      <c:valAx>
        <c:axId val="363696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331504"/>
        <c:crosses val="autoZero"/>
        <c:crossBetween val="between"/>
      </c:valAx>
      <c:spPr>
        <a:noFill/>
        <a:ln>
          <a:noFill/>
        </a:ln>
        <a:effectLst>
          <a:outerShdw blurRad="63500" sx="102000" sy="102000" algn="ctr" rotWithShape="0">
            <a:prstClr val="black">
              <a:alpha val="40000"/>
            </a:prstClr>
          </a:outerShdw>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[P-1.1_retail_sales_analytics_excel.xlsx]Pivot_table &amp; Chart!Age group revenue</c:name>
    <c:fmtId val="4"/>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Age Group Revenue</a:t>
            </a:r>
          </a:p>
        </c:rich>
      </c:tx>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'Pivot_table &amp; Chart'!$B$35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 &amp; Chart'!$A$36:$A$40</c:f>
              <c:strCache>
                <c:ptCount val="4"/>
                <c:pt idx="0">
                  <c:v>18-25</c:v>
                </c:pt>
                <c:pt idx="1">
                  <c:v>26-35</c:v>
                </c:pt>
                <c:pt idx="2">
                  <c:v>36-45</c:v>
                </c:pt>
                <c:pt idx="3">
                  <c:v>46+</c:v>
                </c:pt>
              </c:strCache>
            </c:strRef>
          </c:cat>
          <c:val>
            <c:numRef>
              <c:f>'Pivot_table &amp; Chart'!$B$36:$B$40</c:f>
              <c:numCache>
                <c:formatCode>General</c:formatCode>
                <c:ptCount val="4"/>
                <c:pt idx="0">
                  <c:v>91045</c:v>
                </c:pt>
                <c:pt idx="1">
                  <c:v>90250</c:v>
                </c:pt>
                <c:pt idx="2">
                  <c:v>89005</c:v>
                </c:pt>
                <c:pt idx="3">
                  <c:v>193270</c:v>
                </c:pt>
              </c:numCache>
            </c:numRef>
          </c:val>
        </c:ser>
        <c:dLbls>
          <c:showLegendKey val="0"/>
          <c:showVal val="0"/>
          <c:showCatName val="0"/>
          <c:showSerName val="0"/>
          <c:showPercent val="0"/>
          <c:showBubbleSize val="0"/>
        </c:dLbls>
        <c:gapWidth val="115"/>
        <c:overlap val="-20"/>
        <c:axId val="363705016"/>
        <c:axId val="363801744"/>
      </c:barChart>
      <c:catAx>
        <c:axId val="3637050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801744"/>
        <c:crosses val="autoZero"/>
        <c:auto val="1"/>
        <c:lblAlgn val="ctr"/>
        <c:lblOffset val="100"/>
        <c:noMultiLvlLbl val="0"/>
      </c:catAx>
      <c:valAx>
        <c:axId val="363801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705016"/>
        <c:crosses val="autoZero"/>
        <c:crossBetween val="between"/>
      </c:valAx>
      <c:spPr>
        <a:noFill/>
        <a:ln>
          <a:noFill/>
        </a:ln>
        <a:effectLst>
          <a:outerShdw blurRad="63500" sx="102000" sy="102000" algn="ctr" rotWithShape="0">
            <a:prstClr val="black">
              <a:alpha val="40000"/>
            </a:prstClr>
          </a:outerShdw>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[P-1.1_retail_sales_analytics_excel.xlsx]Pivot_table &amp; Chart!Top Customers</c:name>
    <c:fmtId val="7"/>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Top 10 Customers</a:t>
            </a:r>
          </a:p>
        </c:rich>
      </c:tx>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spPr>
          <a:solidFill>
            <a:schemeClr val="accent6">
              <a:lumMod val="75000"/>
            </a:schemeClr>
          </a:soli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7.0790415412120306E-2"/>
          <c:y val="0.19020512820512819"/>
          <c:w val="0.89930248685469505"/>
          <c:h val="0.63441913991520282"/>
        </c:manualLayout>
      </c:layout>
      <c:barChart>
        <c:barDir val="bar"/>
        <c:grouping val="clustered"/>
        <c:varyColors val="0"/>
        <c:ser>
          <c:idx val="0"/>
          <c:order val="0"/>
          <c:tx>
            <c:strRef>
              <c:f>'Pivot_table &amp; Chart'!$B$44</c:f>
              <c:strCache>
                <c:ptCount val="1"/>
                <c:pt idx="0">
                  <c:v>Total</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cat>
            <c:strRef>
              <c:f>'Pivot_table &amp; Chart'!$A$45:$A$55</c:f>
              <c:strCache>
                <c:ptCount val="10"/>
                <c:pt idx="0">
                  <c:v>CUST018</c:v>
                </c:pt>
                <c:pt idx="1">
                  <c:v>CUST026</c:v>
                </c:pt>
                <c:pt idx="2">
                  <c:v>CUST029</c:v>
                </c:pt>
                <c:pt idx="3">
                  <c:v>CUST049</c:v>
                </c:pt>
                <c:pt idx="4">
                  <c:v>CUST063</c:v>
                </c:pt>
                <c:pt idx="5">
                  <c:v>CUST073</c:v>
                </c:pt>
                <c:pt idx="6">
                  <c:v>CUST076</c:v>
                </c:pt>
                <c:pt idx="7">
                  <c:v>CUST108</c:v>
                </c:pt>
                <c:pt idx="8">
                  <c:v>CUST113</c:v>
                </c:pt>
                <c:pt idx="9">
                  <c:v>CUST139</c:v>
                </c:pt>
              </c:strCache>
            </c:strRef>
          </c:cat>
          <c:val>
            <c:numRef>
              <c:f>'Pivot_table &amp; Chart'!$B$45:$B$55</c:f>
              <c:numCache>
                <c:formatCode>General</c:formatCode>
                <c:ptCount val="10"/>
                <c:pt idx="0">
                  <c:v>6000</c:v>
                </c:pt>
                <c:pt idx="1">
                  <c:v>7000</c:v>
                </c:pt>
                <c:pt idx="2">
                  <c:v>9650</c:v>
                </c:pt>
                <c:pt idx="3">
                  <c:v>5900</c:v>
                </c:pt>
                <c:pt idx="4">
                  <c:v>7620</c:v>
                </c:pt>
                <c:pt idx="5">
                  <c:v>4825</c:v>
                </c:pt>
                <c:pt idx="6">
                  <c:v>6695</c:v>
                </c:pt>
                <c:pt idx="7">
                  <c:v>5710</c:v>
                </c:pt>
                <c:pt idx="8">
                  <c:v>9485</c:v>
                </c:pt>
                <c:pt idx="9">
                  <c:v>7075</c:v>
                </c:pt>
              </c:numCache>
            </c:numRef>
          </c:val>
        </c:ser>
        <c:dLbls>
          <c:showLegendKey val="0"/>
          <c:showVal val="0"/>
          <c:showCatName val="0"/>
          <c:showSerName val="0"/>
          <c:showPercent val="0"/>
          <c:showBubbleSize val="0"/>
        </c:dLbls>
        <c:gapWidth val="115"/>
        <c:overlap val="-20"/>
        <c:axId val="363141416"/>
        <c:axId val="363143768"/>
      </c:barChart>
      <c:catAx>
        <c:axId val="3631414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143768"/>
        <c:crosses val="autoZero"/>
        <c:auto val="1"/>
        <c:lblAlgn val="ctr"/>
        <c:lblOffset val="100"/>
        <c:noMultiLvlLbl val="0"/>
      </c:catAx>
      <c:valAx>
        <c:axId val="363143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141416"/>
        <c:crosses val="autoZero"/>
        <c:crossBetween val="between"/>
      </c:valAx>
      <c:spPr>
        <a:noFill/>
        <a:ln>
          <a:noFill/>
        </a:ln>
        <a:effectLst>
          <a:outerShdw blurRad="63500" sx="102000" sy="102000" algn="ctr" rotWithShape="0">
            <a:prstClr val="black">
              <a:alpha val="40000"/>
            </a:prstClr>
          </a:outerShdw>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[P-1.1_retail_sales_analytics_excel.xlsx]Pivot_table &amp; Chart!Monthly Sales</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Monthly</a:t>
            </a:r>
            <a:r>
              <a:rPr lang="en-US" sz="1200" baseline="0"/>
              <a:t> Sales</a:t>
            </a:r>
            <a:endParaRPr lang="en-US" sz="1200"/>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'Pivot_table &amp; Chart'!$B$3</c:f>
              <c:strCache>
                <c:ptCount val="1"/>
                <c:pt idx="0">
                  <c:v>Total</c:v>
                </c:pt>
              </c:strCache>
            </c:strRef>
          </c:tx>
          <c:spPr>
            <a:ln w="28575" cap="rnd">
              <a:solidFill>
                <a:schemeClr val="accent1"/>
              </a:solidFill>
              <a:round/>
            </a:ln>
            <a:effectLst/>
          </c:spPr>
          <c:marker>
            <c:symbol val="none"/>
          </c:marker>
          <c:cat>
            <c:strRef>
              <c:f>'Pivot_table &amp; Chart'!$A$4:$A$16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 &amp; Chart'!$B$4:$B$16</c:f>
              <c:numCache>
                <c:formatCode>General</c:formatCode>
                <c:ptCount val="12"/>
                <c:pt idx="0">
                  <c:v>35740</c:v>
                </c:pt>
                <c:pt idx="1">
                  <c:v>49040</c:v>
                </c:pt>
                <c:pt idx="2">
                  <c:v>30340</c:v>
                </c:pt>
                <c:pt idx="3">
                  <c:v>39645</c:v>
                </c:pt>
                <c:pt idx="4">
                  <c:v>51295</c:v>
                </c:pt>
                <c:pt idx="5">
                  <c:v>38055</c:v>
                </c:pt>
                <c:pt idx="6">
                  <c:v>36240</c:v>
                </c:pt>
                <c:pt idx="7">
                  <c:v>46045</c:v>
                </c:pt>
                <c:pt idx="8">
                  <c:v>37190</c:v>
                </c:pt>
                <c:pt idx="9">
                  <c:v>38320</c:v>
                </c:pt>
                <c:pt idx="10">
                  <c:v>26895</c:v>
                </c:pt>
                <c:pt idx="11">
                  <c:v>34765</c:v>
                </c:pt>
              </c:numCache>
            </c:numRef>
          </c:val>
          <c:smooth val="0"/>
        </c:ser>
        <c:dLbls>
          <c:showLegendKey val="0"/>
          <c:showVal val="0"/>
          <c:showCatName val="0"/>
          <c:showSerName val="0"/>
          <c:showPercent val="0"/>
          <c:showBubbleSize val="0"/>
        </c:dLbls>
        <c:smooth val="0"/>
        <c:axId val="363141024"/>
        <c:axId val="363140632"/>
      </c:lineChart>
      <c:catAx>
        <c:axId val="36314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140632"/>
        <c:crosses val="autoZero"/>
        <c:auto val="1"/>
        <c:lblAlgn val="ctr"/>
        <c:lblOffset val="100"/>
        <c:noMultiLvlLbl val="0"/>
      </c:catAx>
      <c:valAx>
        <c:axId val="363140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141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[P-1.1_retail_sales_analytics_excel.xlsx]Pivot_table &amp; Chart!Category wise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Category</a:t>
            </a:r>
            <a:r>
              <a:rPr lang="en-US" sz="1200" baseline="0"/>
              <a:t> Wise Sales</a:t>
            </a:r>
            <a:endParaRPr lang="en-US" sz="12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'Pivot_table &amp; Chart'!$B$20</c:f>
              <c:strCache>
                <c:ptCount val="1"/>
                <c:pt idx="0">
                  <c:v>Total</c:v>
                </c:pt>
              </c:strCache>
            </c:strRef>
          </c:tx>
          <c:spPr>
            <a:solidFill>
              <a:schemeClr val="accent1"/>
            </a:solidFill>
            <a:ln>
              <a:noFill/>
            </a:ln>
            <a:effectLst/>
          </c:spPr>
          <c:invertIfNegative val="0"/>
          <c:cat>
            <c:strRef>
              <c:f>'Pivot_table &amp; Chart'!$A$21:$A$24</c:f>
              <c:strCache>
                <c:ptCount val="3"/>
                <c:pt idx="0">
                  <c:v>Beauty</c:v>
                </c:pt>
                <c:pt idx="1">
                  <c:v>Clothing</c:v>
                </c:pt>
                <c:pt idx="2">
                  <c:v>Electronics</c:v>
                </c:pt>
              </c:strCache>
            </c:strRef>
          </c:cat>
          <c:val>
            <c:numRef>
              <c:f>'Pivot_table &amp; Chart'!$B$21:$B$24</c:f>
              <c:numCache>
                <c:formatCode>General</c:formatCode>
                <c:ptCount val="3"/>
                <c:pt idx="0">
                  <c:v>147315</c:v>
                </c:pt>
                <c:pt idx="1">
                  <c:v>158800</c:v>
                </c:pt>
                <c:pt idx="2">
                  <c:v>157455</c:v>
                </c:pt>
              </c:numCache>
            </c:numRef>
          </c:val>
        </c:ser>
        <c:dLbls>
          <c:showLegendKey val="0"/>
          <c:showVal val="0"/>
          <c:showCatName val="0"/>
          <c:showSerName val="0"/>
          <c:showPercent val="0"/>
          <c:showBubbleSize val="0"/>
        </c:dLbls>
        <c:gapWidth val="219"/>
        <c:overlap val="-27"/>
        <c:axId val="364980296"/>
        <c:axId val="364978728"/>
      </c:barChart>
      <c:catAx>
        <c:axId val="364980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78728"/>
        <c:crosses val="autoZero"/>
        <c:auto val="1"/>
        <c:lblAlgn val="ctr"/>
        <c:lblOffset val="100"/>
        <c:noMultiLvlLbl val="0"/>
      </c:catAx>
      <c:valAx>
        <c:axId val="364978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80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[P-1.1_retail_sales_analytics_excel.xlsx]Pivot_table &amp; Chart!Age group revenue</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Age</a:t>
            </a:r>
            <a:r>
              <a:rPr lang="en-US" sz="1200" baseline="0"/>
              <a:t> Group Revenue</a:t>
            </a:r>
            <a:endParaRPr lang="en-US" sz="1200"/>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'Pivot_table &amp; Chart'!$B$35</c:f>
              <c:strCache>
                <c:ptCount val="1"/>
                <c:pt idx="0">
                  <c:v>Total</c:v>
                </c:pt>
              </c:strCache>
            </c:strRef>
          </c:tx>
          <c:spPr>
            <a:solidFill>
              <a:schemeClr val="accent1"/>
            </a:solidFill>
            <a:ln>
              <a:noFill/>
            </a:ln>
            <a:effectLst/>
          </c:spPr>
          <c:invertIfNegative val="0"/>
          <c:cat>
            <c:strRef>
              <c:f>'Pivot_table &amp; Chart'!$A$36:$A$40</c:f>
              <c:strCache>
                <c:ptCount val="4"/>
                <c:pt idx="0">
                  <c:v>18-25</c:v>
                </c:pt>
                <c:pt idx="1">
                  <c:v>26-35</c:v>
                </c:pt>
                <c:pt idx="2">
                  <c:v>36-45</c:v>
                </c:pt>
                <c:pt idx="3">
                  <c:v>46+</c:v>
                </c:pt>
              </c:strCache>
            </c:strRef>
          </c:cat>
          <c:val>
            <c:numRef>
              <c:f>'Pivot_table &amp; Chart'!$B$36:$B$40</c:f>
              <c:numCache>
                <c:formatCode>General</c:formatCode>
                <c:ptCount val="4"/>
                <c:pt idx="0">
                  <c:v>91045</c:v>
                </c:pt>
                <c:pt idx="1">
                  <c:v>90250</c:v>
                </c:pt>
                <c:pt idx="2">
                  <c:v>89005</c:v>
                </c:pt>
                <c:pt idx="3">
                  <c:v>193270</c:v>
                </c:pt>
              </c:numCache>
            </c:numRef>
          </c:val>
        </c:ser>
        <c:dLbls>
          <c:showLegendKey val="0"/>
          <c:showVal val="0"/>
          <c:showCatName val="0"/>
          <c:showSerName val="0"/>
          <c:showPercent val="0"/>
          <c:showBubbleSize val="0"/>
        </c:dLbls>
        <c:gapWidth val="182"/>
        <c:axId val="364979512"/>
        <c:axId val="364981080"/>
      </c:barChart>
      <c:catAx>
        <c:axId val="364979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81080"/>
        <c:crosses val="autoZero"/>
        <c:auto val="1"/>
        <c:lblAlgn val="ctr"/>
        <c:lblOffset val="100"/>
        <c:noMultiLvlLbl val="0"/>
      </c:catAx>
      <c:valAx>
        <c:axId val="364981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79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[P-1.1_retail_sales_analytics_excel.xlsx]Pivot_table &amp; Chart!Top Customers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'Pivot_table &amp; Chart'!$B$44</c:f>
              <c:strCache>
                <c:ptCount val="1"/>
                <c:pt idx="0">
                  <c:v>Total</c:v>
                </c:pt>
              </c:strCache>
            </c:strRef>
          </c:tx>
          <c:spPr>
            <a:solidFill>
              <a:schemeClr val="accent1"/>
            </a:solidFill>
            <a:ln>
              <a:noFill/>
            </a:ln>
            <a:effectLst/>
          </c:spPr>
          <c:invertIfNegative val="0"/>
          <c:cat>
            <c:strRef>
              <c:f>'Pivot_table &amp; Chart'!$A$45:$A$55</c:f>
              <c:strCache>
                <c:ptCount val="10"/>
                <c:pt idx="0">
                  <c:v>CUST018</c:v>
                </c:pt>
                <c:pt idx="1">
                  <c:v>CUST026</c:v>
                </c:pt>
                <c:pt idx="2">
                  <c:v>CUST029</c:v>
                </c:pt>
                <c:pt idx="3">
                  <c:v>CUST049</c:v>
                </c:pt>
                <c:pt idx="4">
                  <c:v>CUST063</c:v>
                </c:pt>
                <c:pt idx="5">
                  <c:v>CUST073</c:v>
                </c:pt>
                <c:pt idx="6">
                  <c:v>CUST076</c:v>
                </c:pt>
                <c:pt idx="7">
                  <c:v>CUST108</c:v>
                </c:pt>
                <c:pt idx="8">
                  <c:v>CUST113</c:v>
                </c:pt>
                <c:pt idx="9">
                  <c:v>CUST139</c:v>
                </c:pt>
              </c:strCache>
            </c:strRef>
          </c:cat>
          <c:val>
            <c:numRef>
              <c:f>'Pivot_table &amp; Chart'!$B$45:$B$55</c:f>
              <c:numCache>
                <c:formatCode>General</c:formatCode>
                <c:ptCount val="10"/>
                <c:pt idx="0">
                  <c:v>6000</c:v>
                </c:pt>
                <c:pt idx="1">
                  <c:v>7000</c:v>
                </c:pt>
                <c:pt idx="2">
                  <c:v>9650</c:v>
                </c:pt>
                <c:pt idx="3">
                  <c:v>5900</c:v>
                </c:pt>
                <c:pt idx="4">
                  <c:v>7620</c:v>
                </c:pt>
                <c:pt idx="5">
                  <c:v>4825</c:v>
                </c:pt>
                <c:pt idx="6">
                  <c:v>6695</c:v>
                </c:pt>
                <c:pt idx="7">
                  <c:v>5710</c:v>
                </c:pt>
                <c:pt idx="8">
                  <c:v>9485</c:v>
                </c:pt>
                <c:pt idx="9">
                  <c:v>7075</c:v>
                </c:pt>
              </c:numCache>
            </c:numRef>
          </c:val>
        </c:ser>
        <c:dLbls>
          <c:showLegendKey val="0"/>
          <c:showVal val="0"/>
          <c:showCatName val="0"/>
          <c:showSerName val="0"/>
          <c:showPercent val="0"/>
          <c:showBubbleSize val="0"/>
        </c:dLbls>
        <c:gapWidth val="182"/>
        <c:axId val="364976376"/>
        <c:axId val="364973632"/>
      </c:barChart>
      <c:catAx>
        <c:axId val="364976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73632"/>
        <c:crosses val="autoZero"/>
        <c:auto val="1"/>
        <c:lblAlgn val="ctr"/>
        <c:lblOffset val="100"/>
        <c:noMultiLvlLbl val="0"/>
      </c:catAx>
      <c:valAx>
        <c:axId val="364973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76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[P-1.1_retail_sales_analytics_excel.xlsx]Pivot_table &amp; Chart!Gender wise revenue</c:name>
    <c:fmtId val="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baseline="0">
                <a:effectLst/>
              </a:rPr>
              <a:t>Gender wise Revenue</a:t>
            </a:r>
            <a:endParaRPr lang="en-IN" sz="1200">
              <a:effectLst/>
            </a:endParaRP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 &amp; Chart'!$B$28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'Pivot_table &amp; Chart'!$A$29:$A$31</c:f>
              <c:strCache>
                <c:ptCount val="2"/>
                <c:pt idx="0">
                  <c:v>Female</c:v>
                </c:pt>
                <c:pt idx="1">
                  <c:v>Male</c:v>
                </c:pt>
              </c:strCache>
            </c:strRef>
          </c:cat>
          <c:val>
            <c:numRef>
              <c:f>'Pivot_table &amp; Chart'!$B$29:$B$31</c:f>
              <c:numCache>
                <c:formatCode>General</c:formatCode>
                <c:ptCount val="2"/>
                <c:pt idx="0">
                  <c:v>247125</c:v>
                </c:pt>
                <c:pt idx="1">
                  <c:v>216445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7</xdr:row>
      <xdr:rowOff>123825</xdr:rowOff>
    </xdr:from>
    <xdr:to>
      <xdr:col>3</xdr:col>
      <xdr:colOff>400651</xdr:colOff>
      <xdr:row>10</xdr:row>
      <xdr:rowOff>128325</xdr:rowOff>
    </xdr:to>
    <mc:AlternateContent xmlns:mc="http://schemas.openxmlformats.org/markup-compatibility/2006" xmlns:a14="http://schemas.microsoft.com/office/drawing/2010/main">
      <mc:Choice Requires="a14">
        <xdr:graphicFrame macro="">
          <xdr:nvGraphicFramePr>
            <xdr:cNvPr id="2"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33425" y="1543050"/>
              <a:ext cx="1496026" cy="5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150283</xdr:colOff>
      <xdr:row>7</xdr:row>
      <xdr:rowOff>122770</xdr:rowOff>
    </xdr:from>
    <xdr:to>
      <xdr:col>8</xdr:col>
      <xdr:colOff>424483</xdr:colOff>
      <xdr:row>10</xdr:row>
      <xdr:rowOff>127270</xdr:rowOff>
    </xdr:to>
    <mc:AlternateContent xmlns:mc="http://schemas.openxmlformats.org/markup-compatibility/2006" xmlns:a14="http://schemas.microsoft.com/office/drawing/2010/main">
      <mc:Choice Requires="a14">
        <xdr:graphicFrame macro="">
          <xdr:nvGraphicFramePr>
            <xdr:cNvPr id="3" name="product_category 2"/>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2579158" y="1515801"/>
              <a:ext cx="2703075" cy="5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276224</xdr:colOff>
      <xdr:row>7</xdr:row>
      <xdr:rowOff>123824</xdr:rowOff>
    </xdr:from>
    <xdr:to>
      <xdr:col>13</xdr:col>
      <xdr:colOff>0</xdr:colOff>
      <xdr:row>10</xdr:row>
      <xdr:rowOff>128324</xdr:rowOff>
    </xdr:to>
    <mc:AlternateContent xmlns:mc="http://schemas.openxmlformats.org/markup-compatibility/2006" xmlns:a14="http://schemas.microsoft.com/office/drawing/2010/main">
      <mc:Choice Requires="a14">
        <xdr:graphicFrame macro="">
          <xdr:nvGraphicFramePr>
            <xdr:cNvPr id="4" name="age_group 2"/>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mlns="">
        <xdr:sp macro="" textlink="">
          <xdr:nvSpPr>
            <xdr:cNvPr id="0" name=""/>
            <xdr:cNvSpPr>
              <a:spLocks noTextEdit="1"/>
            </xdr:cNvSpPr>
          </xdr:nvSpPr>
          <xdr:spPr>
            <a:xfrm>
              <a:off x="5762625" y="1543049"/>
              <a:ext cx="2196000" cy="5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428625</xdr:colOff>
      <xdr:row>7</xdr:row>
      <xdr:rowOff>114300</xdr:rowOff>
    </xdr:from>
    <xdr:to>
      <xdr:col>16</xdr:col>
      <xdr:colOff>435825</xdr:colOff>
      <xdr:row>10</xdr:row>
      <xdr:rowOff>118800</xdr:rowOff>
    </xdr:to>
    <mc:AlternateContent xmlns:mc="http://schemas.openxmlformats.org/markup-compatibility/2006" xmlns:tsle="http://schemas.microsoft.com/office/drawing/2012/timeslicer">
      <mc:Choice Requires="tsle">
        <xdr:graphicFrame macro="">
          <xdr:nvGraphicFramePr>
            <xdr:cNvPr id="5" name="date 2"/>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8458200" y="1533525"/>
              <a:ext cx="1836000" cy="576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114300</xdr:colOff>
      <xdr:row>11</xdr:row>
      <xdr:rowOff>57150</xdr:rowOff>
    </xdr:from>
    <xdr:to>
      <xdr:col>8</xdr:col>
      <xdr:colOff>523875</xdr:colOff>
      <xdr:row>23</xdr:row>
      <xdr:rowOff>66675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295275</xdr:colOff>
      <xdr:row>24</xdr:row>
      <xdr:rowOff>9525</xdr:rowOff>
    </xdr:from>
    <xdr:to>
      <xdr:col>11</xdr:col>
      <xdr:colOff>76200</xdr:colOff>
      <xdr:row>35</xdr:row>
      <xdr:rowOff>95251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114299</xdr:colOff>
      <xdr:row>24</xdr:row>
      <xdr:rowOff>19050</xdr:rowOff>
    </xdr:from>
    <xdr:to>
      <xdr:col>6</xdr:col>
      <xdr:colOff>200024</xdr:colOff>
      <xdr:row>35</xdr:row>
      <xdr:rowOff>95250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190499</xdr:colOff>
      <xdr:row>24</xdr:row>
      <xdr:rowOff>0</xdr:rowOff>
    </xdr:from>
    <xdr:to>
      <xdr:col>16</xdr:col>
      <xdr:colOff>447674</xdr:colOff>
      <xdr:row>35</xdr:row>
      <xdr:rowOff>95250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85725</xdr:colOff>
      <xdr:row>11</xdr:row>
      <xdr:rowOff>57151</xdr:rowOff>
    </xdr:from>
    <xdr:to>
      <xdr:col>16</xdr:col>
      <xdr:colOff>447675</xdr:colOff>
      <xdr:row>23</xdr:row>
      <xdr:rowOff>76201</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592668</xdr:colOff>
      <xdr:row>3</xdr:row>
      <xdr:rowOff>169332</xdr:rowOff>
    </xdr:from>
    <xdr:to>
      <xdr:col>4</xdr:col>
      <xdr:colOff>21168</xdr:colOff>
      <xdr:row>7</xdr:row>
      <xdr:rowOff>10583</xdr:rowOff>
    </xdr:to>
    <xdr:sp macro="" textlink="">
      <xdr:nvSpPr>
        <xdr:cNvPr id="12" name="Rounded Rectangle 11"/>
        <xdr:cNvSpPr/>
      </xdr:nvSpPr>
      <xdr:spPr>
        <a:xfrm>
          <a:off x="1206501" y="740832"/>
          <a:ext cx="1270000" cy="666751"/>
        </a:xfrm>
        <a:prstGeom prst="roundRect">
          <a:avLst/>
        </a:prstGeom>
        <a:noFill/>
        <a:ln w="41275">
          <a:solidFill>
            <a:schemeClr val="accent1">
              <a:shade val="50000"/>
            </a:schemeClr>
          </a:solidFill>
        </a:ln>
        <a:effectLst>
          <a:glow rad="25400">
            <a:schemeClr val="accent3">
              <a:satMod val="175000"/>
              <a:alpha val="40000"/>
            </a:schemeClr>
          </a:glow>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592666</xdr:colOff>
      <xdr:row>3</xdr:row>
      <xdr:rowOff>179916</xdr:rowOff>
    </xdr:from>
    <xdr:to>
      <xdr:col>7</xdr:col>
      <xdr:colOff>21166</xdr:colOff>
      <xdr:row>7</xdr:row>
      <xdr:rowOff>21167</xdr:rowOff>
    </xdr:to>
    <xdr:sp macro="" textlink="">
      <xdr:nvSpPr>
        <xdr:cNvPr id="13" name="Rounded Rectangle 12"/>
        <xdr:cNvSpPr/>
      </xdr:nvSpPr>
      <xdr:spPr>
        <a:xfrm>
          <a:off x="3047999" y="751416"/>
          <a:ext cx="1270000" cy="666751"/>
        </a:xfrm>
        <a:prstGeom prst="roundRect">
          <a:avLst/>
        </a:prstGeom>
        <a:noFill/>
        <a:ln w="41275">
          <a:solidFill>
            <a:schemeClr val="accent1">
              <a:shade val="50000"/>
            </a:schemeClr>
          </a:solidFill>
        </a:ln>
        <a:effectLst>
          <a:glow rad="25400">
            <a:schemeClr val="accent3">
              <a:satMod val="175000"/>
              <a:alpha val="40000"/>
            </a:schemeClr>
          </a:glow>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596899</xdr:colOff>
      <xdr:row>3</xdr:row>
      <xdr:rowOff>173567</xdr:rowOff>
    </xdr:from>
    <xdr:to>
      <xdr:col>10</xdr:col>
      <xdr:colOff>25399</xdr:colOff>
      <xdr:row>7</xdr:row>
      <xdr:rowOff>14818</xdr:rowOff>
    </xdr:to>
    <xdr:sp macro="" textlink="">
      <xdr:nvSpPr>
        <xdr:cNvPr id="14" name="Rounded Rectangle 13"/>
        <xdr:cNvSpPr/>
      </xdr:nvSpPr>
      <xdr:spPr>
        <a:xfrm>
          <a:off x="4893732" y="745067"/>
          <a:ext cx="1270000" cy="666751"/>
        </a:xfrm>
        <a:prstGeom prst="roundRect">
          <a:avLst/>
        </a:prstGeom>
        <a:noFill/>
        <a:ln w="41275">
          <a:solidFill>
            <a:schemeClr val="accent1">
              <a:shade val="50000"/>
            </a:schemeClr>
          </a:solidFill>
        </a:ln>
        <a:effectLst>
          <a:glow rad="25400">
            <a:schemeClr val="accent3">
              <a:satMod val="175000"/>
              <a:alpha val="40000"/>
            </a:schemeClr>
          </a:glow>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590550</xdr:colOff>
      <xdr:row>3</xdr:row>
      <xdr:rowOff>177800</xdr:rowOff>
    </xdr:from>
    <xdr:to>
      <xdr:col>13</xdr:col>
      <xdr:colOff>21166</xdr:colOff>
      <xdr:row>7</xdr:row>
      <xdr:rowOff>19051</xdr:rowOff>
    </xdr:to>
    <xdr:sp macro="" textlink="">
      <xdr:nvSpPr>
        <xdr:cNvPr id="15" name="Rounded Rectangle 14"/>
        <xdr:cNvSpPr/>
      </xdr:nvSpPr>
      <xdr:spPr>
        <a:xfrm>
          <a:off x="6728883" y="749300"/>
          <a:ext cx="1377950" cy="666751"/>
        </a:xfrm>
        <a:prstGeom prst="roundRect">
          <a:avLst/>
        </a:prstGeom>
        <a:noFill/>
        <a:ln w="41275">
          <a:solidFill>
            <a:schemeClr val="accent1">
              <a:shade val="50000"/>
            </a:schemeClr>
          </a:solidFill>
        </a:ln>
        <a:effectLst>
          <a:glow rad="25400">
            <a:schemeClr val="accent3">
              <a:satMod val="175000"/>
              <a:alpha val="40000"/>
            </a:schemeClr>
          </a:glow>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594782</xdr:colOff>
      <xdr:row>3</xdr:row>
      <xdr:rowOff>182034</xdr:rowOff>
    </xdr:from>
    <xdr:to>
      <xdr:col>16</xdr:col>
      <xdr:colOff>23282</xdr:colOff>
      <xdr:row>7</xdr:row>
      <xdr:rowOff>23285</xdr:rowOff>
    </xdr:to>
    <xdr:sp macro="" textlink="">
      <xdr:nvSpPr>
        <xdr:cNvPr id="16" name="Rounded Rectangle 15"/>
        <xdr:cNvSpPr/>
      </xdr:nvSpPr>
      <xdr:spPr>
        <a:xfrm>
          <a:off x="8680449" y="753534"/>
          <a:ext cx="1270000" cy="666751"/>
        </a:xfrm>
        <a:prstGeom prst="roundRect">
          <a:avLst/>
        </a:prstGeom>
        <a:noFill/>
        <a:ln w="41275">
          <a:solidFill>
            <a:schemeClr val="accent1">
              <a:shade val="50000"/>
            </a:schemeClr>
          </a:solidFill>
        </a:ln>
        <a:effectLst>
          <a:glow rad="25400">
            <a:schemeClr val="accent3">
              <a:satMod val="175000"/>
              <a:alpha val="40000"/>
            </a:schemeClr>
          </a:glow>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592667</xdr:colOff>
      <xdr:row>1</xdr:row>
      <xdr:rowOff>1</xdr:rowOff>
    </xdr:from>
    <xdr:to>
      <xdr:col>17</xdr:col>
      <xdr:colOff>21167</xdr:colOff>
      <xdr:row>2</xdr:row>
      <xdr:rowOff>179917</xdr:rowOff>
    </xdr:to>
    <xdr:sp macro="" textlink="">
      <xdr:nvSpPr>
        <xdr:cNvPr id="17" name="Rounded Rectangle 16"/>
        <xdr:cNvSpPr/>
      </xdr:nvSpPr>
      <xdr:spPr>
        <a:xfrm>
          <a:off x="592667" y="190501"/>
          <a:ext cx="9969500" cy="370416"/>
        </a:xfrm>
        <a:prstGeom prst="roundRect">
          <a:avLst/>
        </a:prstGeom>
        <a:noFill/>
        <a:ln w="34925">
          <a:solidFill>
            <a:schemeClr val="accent1">
              <a:lumMod val="50000"/>
            </a:schemeClr>
          </a:solidFill>
        </a:ln>
        <a:effectLst>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95250</xdr:colOff>
      <xdr:row>7</xdr:row>
      <xdr:rowOff>105834</xdr:rowOff>
    </xdr:from>
    <xdr:to>
      <xdr:col>3</xdr:col>
      <xdr:colOff>412749</xdr:colOff>
      <xdr:row>10</xdr:row>
      <xdr:rowOff>137584</xdr:rowOff>
    </xdr:to>
    <xdr:sp macro="" textlink="">
      <xdr:nvSpPr>
        <xdr:cNvPr id="19" name="Rounded Rectangle 18"/>
        <xdr:cNvSpPr/>
      </xdr:nvSpPr>
      <xdr:spPr>
        <a:xfrm>
          <a:off x="709083" y="1502834"/>
          <a:ext cx="1545166" cy="603250"/>
        </a:xfrm>
        <a:prstGeom prst="roundRect">
          <a:avLst/>
        </a:prstGeom>
        <a:noFill/>
        <a:ln w="34925">
          <a:solidFill>
            <a:schemeClr val="accent1">
              <a:shade val="50000"/>
            </a:schemeClr>
          </a:solidFill>
        </a:ln>
        <a:effectLst>
          <a:glow rad="25400">
            <a:schemeClr val="accent3">
              <a:satMod val="175000"/>
              <a:alpha val="40000"/>
            </a:schemeClr>
          </a:glow>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127000</xdr:colOff>
      <xdr:row>7</xdr:row>
      <xdr:rowOff>105834</xdr:rowOff>
    </xdr:from>
    <xdr:to>
      <xdr:col>8</xdr:col>
      <xdr:colOff>444500</xdr:colOff>
      <xdr:row>10</xdr:row>
      <xdr:rowOff>137584</xdr:rowOff>
    </xdr:to>
    <xdr:sp macro="" textlink="">
      <xdr:nvSpPr>
        <xdr:cNvPr id="24" name="Rounded Rectangle 23"/>
        <xdr:cNvSpPr/>
      </xdr:nvSpPr>
      <xdr:spPr>
        <a:xfrm>
          <a:off x="2582333" y="1502834"/>
          <a:ext cx="2772834" cy="603250"/>
        </a:xfrm>
        <a:prstGeom prst="roundRect">
          <a:avLst/>
        </a:prstGeom>
        <a:noFill/>
        <a:ln w="34925">
          <a:solidFill>
            <a:schemeClr val="accent1">
              <a:shade val="50000"/>
            </a:schemeClr>
          </a:solidFill>
        </a:ln>
        <a:effectLst>
          <a:glow rad="25400">
            <a:schemeClr val="accent3">
              <a:satMod val="175000"/>
              <a:alpha val="40000"/>
            </a:schemeClr>
          </a:glow>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412750</xdr:colOff>
      <xdr:row>7</xdr:row>
      <xdr:rowOff>116417</xdr:rowOff>
    </xdr:from>
    <xdr:to>
      <xdr:col>16</xdr:col>
      <xdr:colOff>486834</xdr:colOff>
      <xdr:row>10</xdr:row>
      <xdr:rowOff>148167</xdr:rowOff>
    </xdr:to>
    <xdr:sp macro="" textlink="">
      <xdr:nvSpPr>
        <xdr:cNvPr id="28" name="Rounded Rectangle 27"/>
        <xdr:cNvSpPr/>
      </xdr:nvSpPr>
      <xdr:spPr>
        <a:xfrm>
          <a:off x="8498417" y="1513417"/>
          <a:ext cx="1915584" cy="603250"/>
        </a:xfrm>
        <a:prstGeom prst="roundRect">
          <a:avLst/>
        </a:prstGeom>
        <a:noFill/>
        <a:ln w="34925">
          <a:solidFill>
            <a:schemeClr val="accent1">
              <a:shade val="50000"/>
            </a:schemeClr>
          </a:solidFill>
        </a:ln>
        <a:effectLst>
          <a:glow rad="25400">
            <a:schemeClr val="accent3">
              <a:satMod val="175000"/>
              <a:alpha val="40000"/>
            </a:schemeClr>
          </a:glow>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254000</xdr:colOff>
      <xdr:row>7</xdr:row>
      <xdr:rowOff>120649</xdr:rowOff>
    </xdr:from>
    <xdr:to>
      <xdr:col>13</xdr:col>
      <xdr:colOff>22222</xdr:colOff>
      <xdr:row>10</xdr:row>
      <xdr:rowOff>152399</xdr:rowOff>
    </xdr:to>
    <xdr:sp macro="" textlink="">
      <xdr:nvSpPr>
        <xdr:cNvPr id="29" name="Rounded Rectangle 28"/>
        <xdr:cNvSpPr/>
      </xdr:nvSpPr>
      <xdr:spPr>
        <a:xfrm>
          <a:off x="5778500" y="1517649"/>
          <a:ext cx="2329389" cy="603250"/>
        </a:xfrm>
        <a:prstGeom prst="roundRect">
          <a:avLst/>
        </a:prstGeom>
        <a:noFill/>
        <a:ln w="34925">
          <a:solidFill>
            <a:schemeClr val="accent1">
              <a:shade val="50000"/>
            </a:schemeClr>
          </a:solidFill>
        </a:ln>
        <a:effectLst>
          <a:glow rad="25400">
            <a:schemeClr val="accent3">
              <a:satMod val="175000"/>
              <a:alpha val="40000"/>
            </a:schemeClr>
          </a:glow>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2</xdr:row>
      <xdr:rowOff>0</xdr:rowOff>
    </xdr:from>
    <xdr:to>
      <xdr:col>10</xdr:col>
      <xdr:colOff>333375</xdr:colOff>
      <xdr:row>15</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xdr:colOff>
      <xdr:row>17</xdr:row>
      <xdr:rowOff>14287</xdr:rowOff>
    </xdr:from>
    <xdr:to>
      <xdr:col>8</xdr:col>
      <xdr:colOff>123825</xdr:colOff>
      <xdr:row>25</xdr:row>
      <xdr:rowOff>180975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14287</xdr:colOff>
      <xdr:row>34</xdr:row>
      <xdr:rowOff>85724</xdr:rowOff>
    </xdr:from>
    <xdr:to>
      <xdr:col>10</xdr:col>
      <xdr:colOff>9525</xdr:colOff>
      <xdr:row>43</xdr:row>
      <xdr:rowOff>47625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4762</xdr:colOff>
      <xdr:row>43</xdr:row>
      <xdr:rowOff>90487</xdr:rowOff>
    </xdr:from>
    <xdr:to>
      <xdr:col>10</xdr:col>
      <xdr:colOff>309562</xdr:colOff>
      <xdr:row>57</xdr:row>
      <xdr:rowOff>166687</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9525</xdr:colOff>
      <xdr:row>2</xdr:row>
      <xdr:rowOff>1</xdr:rowOff>
    </xdr:from>
    <xdr:to>
      <xdr:col>13</xdr:col>
      <xdr:colOff>286351</xdr:colOff>
      <xdr:row>5</xdr:row>
      <xdr:rowOff>4501</xdr:rowOff>
    </xdr:to>
    <mc:AlternateContent xmlns:mc="http://schemas.openxmlformats.org/markup-compatibility/2006" xmlns:a14="http://schemas.microsoft.com/office/drawing/2010/main">
      <mc:Choice Requires="a14">
        <xdr:graphicFrame macro="">
          <xdr:nvGraphicFramePr>
            <xdr:cNvPr id="11"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658350" y="381001"/>
              <a:ext cx="1496026" cy="5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6</xdr:row>
      <xdr:rowOff>1</xdr:rowOff>
    </xdr:from>
    <xdr:to>
      <xdr:col>15</xdr:col>
      <xdr:colOff>274200</xdr:colOff>
      <xdr:row>9</xdr:row>
      <xdr:rowOff>4501</xdr:rowOff>
    </xdr:to>
    <mc:AlternateContent xmlns:mc="http://schemas.openxmlformats.org/markup-compatibility/2006" xmlns:a14="http://schemas.microsoft.com/office/drawing/2010/main">
      <mc:Choice Requires="a14">
        <xdr:graphicFrame macro="">
          <xdr:nvGraphicFramePr>
            <xdr:cNvPr id="12"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9648825" y="1143001"/>
              <a:ext cx="2712600" cy="5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xdr:colOff>
      <xdr:row>10</xdr:row>
      <xdr:rowOff>9525</xdr:rowOff>
    </xdr:from>
    <xdr:to>
      <xdr:col>14</xdr:col>
      <xdr:colOff>376725</xdr:colOff>
      <xdr:row>13</xdr:row>
      <xdr:rowOff>14025</xdr:rowOff>
    </xdr:to>
    <mc:AlternateContent xmlns:mc="http://schemas.openxmlformats.org/markup-compatibility/2006" xmlns:a14="http://schemas.microsoft.com/office/drawing/2010/main">
      <mc:Choice Requires="a14">
        <xdr:graphicFrame macro="">
          <xdr:nvGraphicFramePr>
            <xdr:cNvPr id="13" name="age_group"/>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9658350" y="1914525"/>
              <a:ext cx="2196000" cy="5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xdr:colOff>
      <xdr:row>26</xdr:row>
      <xdr:rowOff>33337</xdr:rowOff>
    </xdr:from>
    <xdr:to>
      <xdr:col>5</xdr:col>
      <xdr:colOff>428625</xdr:colOff>
      <xdr:row>34</xdr:row>
      <xdr:rowOff>9525</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28575</xdr:colOff>
      <xdr:row>14</xdr:row>
      <xdr:rowOff>0</xdr:rowOff>
    </xdr:from>
    <xdr:to>
      <xdr:col>13</xdr:col>
      <xdr:colOff>152400</xdr:colOff>
      <xdr:row>19</xdr:row>
      <xdr:rowOff>152400</xdr:rowOff>
    </xdr:to>
    <mc:AlternateContent xmlns:mc="http://schemas.openxmlformats.org/markup-compatibility/2006" xmlns:tsle="http://schemas.microsoft.com/office/drawing/2012/timeslicer">
      <mc:Choice Requires="tsle">
        <xdr:graphicFrame macro="">
          <xdr:nvGraphicFramePr>
            <xdr:cNvPr id="22"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201150" y="2667000"/>
              <a:ext cx="1343025" cy="1104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enovo/OneDrive/Desktop/DA/DDD/project%201/retail_sales_cleaned_datase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tail_sales_cleaned_dataset"/>
    </sheetNames>
    <sheetDataSet>
      <sheetData sheetId="0">
        <row r="2">
          <cell r="B2">
            <v>45658</v>
          </cell>
        </row>
        <row r="3">
          <cell r="B3">
            <v>45658</v>
          </cell>
        </row>
        <row r="4">
          <cell r="B4">
            <v>45658</v>
          </cell>
        </row>
        <row r="5">
          <cell r="B5">
            <v>45659</v>
          </cell>
        </row>
        <row r="6">
          <cell r="B6">
            <v>45659</v>
          </cell>
        </row>
        <row r="7">
          <cell r="B7">
            <v>45659</v>
          </cell>
        </row>
        <row r="8">
          <cell r="B8">
            <v>45659</v>
          </cell>
        </row>
        <row r="9">
          <cell r="B9">
            <v>45660</v>
          </cell>
        </row>
        <row r="10">
          <cell r="B10">
            <v>45661</v>
          </cell>
        </row>
        <row r="11">
          <cell r="B11">
            <v>45661</v>
          </cell>
        </row>
        <row r="12">
          <cell r="B12">
            <v>45661</v>
          </cell>
        </row>
        <row r="13">
          <cell r="B13">
            <v>45662</v>
          </cell>
        </row>
        <row r="14">
          <cell r="B14">
            <v>45662</v>
          </cell>
        </row>
        <row r="15">
          <cell r="B15">
            <v>45662</v>
          </cell>
        </row>
        <row r="16">
          <cell r="B16">
            <v>45663</v>
          </cell>
        </row>
        <row r="17">
          <cell r="B17">
            <v>45663</v>
          </cell>
        </row>
        <row r="18">
          <cell r="B18">
            <v>45664</v>
          </cell>
        </row>
        <row r="19">
          <cell r="B19">
            <v>45664</v>
          </cell>
        </row>
        <row r="20">
          <cell r="B20">
            <v>45665</v>
          </cell>
        </row>
        <row r="21">
          <cell r="B21">
            <v>45665</v>
          </cell>
        </row>
        <row r="22">
          <cell r="B22">
            <v>45666</v>
          </cell>
        </row>
        <row r="23">
          <cell r="B23">
            <v>45667</v>
          </cell>
        </row>
        <row r="24">
          <cell r="B24">
            <v>45667</v>
          </cell>
        </row>
        <row r="25">
          <cell r="B25">
            <v>45668</v>
          </cell>
        </row>
        <row r="26">
          <cell r="B26">
            <v>45668</v>
          </cell>
        </row>
        <row r="27">
          <cell r="B27">
            <v>45668</v>
          </cell>
        </row>
        <row r="28">
          <cell r="B28">
            <v>45670</v>
          </cell>
        </row>
        <row r="29">
          <cell r="B29">
            <v>45670</v>
          </cell>
        </row>
        <row r="30">
          <cell r="B30">
            <v>45670</v>
          </cell>
        </row>
        <row r="31">
          <cell r="B31">
            <v>45670</v>
          </cell>
        </row>
        <row r="32">
          <cell r="B32">
            <v>45671</v>
          </cell>
        </row>
        <row r="33">
          <cell r="B33">
            <v>45671</v>
          </cell>
        </row>
        <row r="34">
          <cell r="B34">
            <v>45671</v>
          </cell>
        </row>
        <row r="35">
          <cell r="B35">
            <v>45671</v>
          </cell>
        </row>
        <row r="36">
          <cell r="B36">
            <v>45672</v>
          </cell>
        </row>
        <row r="37">
          <cell r="B37">
            <v>45672</v>
          </cell>
        </row>
        <row r="38">
          <cell r="B38">
            <v>45672</v>
          </cell>
        </row>
        <row r="39">
          <cell r="B39">
            <v>45673</v>
          </cell>
        </row>
        <row r="40">
          <cell r="B40">
            <v>45673</v>
          </cell>
        </row>
        <row r="41">
          <cell r="B41">
            <v>45674</v>
          </cell>
        </row>
        <row r="42">
          <cell r="B42">
            <v>45674</v>
          </cell>
        </row>
        <row r="43">
          <cell r="B43">
            <v>45674</v>
          </cell>
        </row>
        <row r="44">
          <cell r="B44">
            <v>45674</v>
          </cell>
        </row>
        <row r="45">
          <cell r="B45">
            <v>45676</v>
          </cell>
        </row>
        <row r="46">
          <cell r="B46">
            <v>45677</v>
          </cell>
        </row>
        <row r="47">
          <cell r="B47">
            <v>45677</v>
          </cell>
        </row>
        <row r="48">
          <cell r="B48">
            <v>45678</v>
          </cell>
        </row>
        <row r="49">
          <cell r="B49">
            <v>45678</v>
          </cell>
        </row>
        <row r="50">
          <cell r="B50">
            <v>45678</v>
          </cell>
        </row>
        <row r="51">
          <cell r="B51">
            <v>45679</v>
          </cell>
        </row>
        <row r="52">
          <cell r="B52">
            <v>45679</v>
          </cell>
        </row>
        <row r="53">
          <cell r="B53">
            <v>45680</v>
          </cell>
        </row>
        <row r="54">
          <cell r="B54">
            <v>45680</v>
          </cell>
        </row>
        <row r="55">
          <cell r="B55">
            <v>45680</v>
          </cell>
        </row>
        <row r="56">
          <cell r="B56">
            <v>45681</v>
          </cell>
        </row>
        <row r="57">
          <cell r="B57">
            <v>45681</v>
          </cell>
        </row>
        <row r="58">
          <cell r="B58">
            <v>45681</v>
          </cell>
        </row>
        <row r="59">
          <cell r="B59">
            <v>45682</v>
          </cell>
        </row>
        <row r="60">
          <cell r="B60">
            <v>45683</v>
          </cell>
        </row>
        <row r="61">
          <cell r="B61">
            <v>45683</v>
          </cell>
        </row>
        <row r="62">
          <cell r="B62">
            <v>45683</v>
          </cell>
        </row>
        <row r="63">
          <cell r="B63">
            <v>45683</v>
          </cell>
        </row>
        <row r="64">
          <cell r="B64">
            <v>45684</v>
          </cell>
        </row>
        <row r="65">
          <cell r="B65">
            <v>45684</v>
          </cell>
        </row>
        <row r="66">
          <cell r="B66">
            <v>45684</v>
          </cell>
        </row>
        <row r="67">
          <cell r="B67">
            <v>45685</v>
          </cell>
        </row>
        <row r="68">
          <cell r="B68">
            <v>45685</v>
          </cell>
        </row>
        <row r="69">
          <cell r="B69">
            <v>45685</v>
          </cell>
        </row>
        <row r="70">
          <cell r="B70">
            <v>45686</v>
          </cell>
        </row>
        <row r="71">
          <cell r="B71">
            <v>45687</v>
          </cell>
        </row>
        <row r="72">
          <cell r="B72">
            <v>45687</v>
          </cell>
        </row>
        <row r="73">
          <cell r="B73">
            <v>45687</v>
          </cell>
        </row>
        <row r="74">
          <cell r="B74">
            <v>45687</v>
          </cell>
        </row>
        <row r="75">
          <cell r="B75">
            <v>45688</v>
          </cell>
        </row>
        <row r="76">
          <cell r="B76">
            <v>45688</v>
          </cell>
        </row>
        <row r="77">
          <cell r="B77">
            <v>45688</v>
          </cell>
        </row>
        <row r="78">
          <cell r="B78">
            <v>45689</v>
          </cell>
        </row>
        <row r="79">
          <cell r="B79">
            <v>45689</v>
          </cell>
        </row>
        <row r="80">
          <cell r="B80">
            <v>45689</v>
          </cell>
        </row>
        <row r="81">
          <cell r="B81">
            <v>45690</v>
          </cell>
        </row>
        <row r="82">
          <cell r="B82">
            <v>45690</v>
          </cell>
        </row>
        <row r="83">
          <cell r="B83">
            <v>45690</v>
          </cell>
        </row>
        <row r="84">
          <cell r="B84">
            <v>45691</v>
          </cell>
        </row>
        <row r="85">
          <cell r="B85">
            <v>45691</v>
          </cell>
        </row>
        <row r="86">
          <cell r="B86">
            <v>45692</v>
          </cell>
        </row>
        <row r="87">
          <cell r="B87">
            <v>45692</v>
          </cell>
        </row>
        <row r="88">
          <cell r="B88">
            <v>45693</v>
          </cell>
        </row>
        <row r="89">
          <cell r="B89">
            <v>45693</v>
          </cell>
        </row>
        <row r="90">
          <cell r="B90">
            <v>45693</v>
          </cell>
        </row>
        <row r="91">
          <cell r="B91">
            <v>45693</v>
          </cell>
        </row>
        <row r="92">
          <cell r="B92">
            <v>45693</v>
          </cell>
        </row>
        <row r="93">
          <cell r="B93">
            <v>45693</v>
          </cell>
        </row>
        <row r="94">
          <cell r="B94">
            <v>45693</v>
          </cell>
        </row>
        <row r="95">
          <cell r="B95">
            <v>45693</v>
          </cell>
        </row>
        <row r="96">
          <cell r="B96">
            <v>45694</v>
          </cell>
        </row>
        <row r="97">
          <cell r="B97">
            <v>45694</v>
          </cell>
        </row>
        <row r="98">
          <cell r="B98">
            <v>45694</v>
          </cell>
        </row>
        <row r="99">
          <cell r="B99">
            <v>45694</v>
          </cell>
        </row>
        <row r="100">
          <cell r="B100">
            <v>45695</v>
          </cell>
        </row>
        <row r="101">
          <cell r="B101">
            <v>45695</v>
          </cell>
        </row>
        <row r="102">
          <cell r="B102">
            <v>45695</v>
          </cell>
        </row>
        <row r="103">
          <cell r="B103">
            <v>45695</v>
          </cell>
        </row>
        <row r="104">
          <cell r="B104">
            <v>45696</v>
          </cell>
        </row>
        <row r="105">
          <cell r="B105">
            <v>45696</v>
          </cell>
        </row>
        <row r="106">
          <cell r="B106">
            <v>45696</v>
          </cell>
        </row>
        <row r="107">
          <cell r="B107">
            <v>45696</v>
          </cell>
        </row>
        <row r="108">
          <cell r="B108">
            <v>45697</v>
          </cell>
        </row>
        <row r="109">
          <cell r="B109">
            <v>45698</v>
          </cell>
        </row>
        <row r="110">
          <cell r="B110">
            <v>45698</v>
          </cell>
        </row>
        <row r="111">
          <cell r="B111">
            <v>45698</v>
          </cell>
        </row>
        <row r="112">
          <cell r="B112">
            <v>45699</v>
          </cell>
        </row>
        <row r="113">
          <cell r="B113">
            <v>45699</v>
          </cell>
        </row>
        <row r="114">
          <cell r="B114">
            <v>45699</v>
          </cell>
        </row>
        <row r="115">
          <cell r="B115">
            <v>45699</v>
          </cell>
        </row>
        <row r="116">
          <cell r="B116">
            <v>45699</v>
          </cell>
        </row>
        <row r="117">
          <cell r="B117">
            <v>45700</v>
          </cell>
        </row>
        <row r="118">
          <cell r="B118">
            <v>45701</v>
          </cell>
        </row>
        <row r="119">
          <cell r="B119">
            <v>45701</v>
          </cell>
        </row>
        <row r="120">
          <cell r="B120">
            <v>45701</v>
          </cell>
        </row>
        <row r="121">
          <cell r="B121">
            <v>45701</v>
          </cell>
        </row>
        <row r="122">
          <cell r="B122">
            <v>45702</v>
          </cell>
        </row>
        <row r="123">
          <cell r="B123">
            <v>45702</v>
          </cell>
        </row>
        <row r="124">
          <cell r="B124">
            <v>45704</v>
          </cell>
        </row>
        <row r="125">
          <cell r="B125">
            <v>45705</v>
          </cell>
        </row>
        <row r="126">
          <cell r="B126">
            <v>45705</v>
          </cell>
        </row>
        <row r="127">
          <cell r="B127">
            <v>45705</v>
          </cell>
        </row>
        <row r="128">
          <cell r="B128">
            <v>45705</v>
          </cell>
        </row>
        <row r="129">
          <cell r="B129">
            <v>45705</v>
          </cell>
        </row>
        <row r="130">
          <cell r="B130">
            <v>45705</v>
          </cell>
        </row>
        <row r="131">
          <cell r="B131">
            <v>45706</v>
          </cell>
        </row>
        <row r="132">
          <cell r="B132">
            <v>45707</v>
          </cell>
        </row>
        <row r="133">
          <cell r="B133">
            <v>45707</v>
          </cell>
        </row>
        <row r="134">
          <cell r="B134">
            <v>45708</v>
          </cell>
        </row>
        <row r="135">
          <cell r="B135">
            <v>45708</v>
          </cell>
        </row>
        <row r="136">
          <cell r="B136">
            <v>45708</v>
          </cell>
        </row>
        <row r="137">
          <cell r="B137">
            <v>45709</v>
          </cell>
        </row>
        <row r="138">
          <cell r="B138">
            <v>45709</v>
          </cell>
        </row>
        <row r="139">
          <cell r="B139">
            <v>45709</v>
          </cell>
        </row>
        <row r="140">
          <cell r="B140">
            <v>45710</v>
          </cell>
        </row>
        <row r="141">
          <cell r="B141">
            <v>45710</v>
          </cell>
        </row>
        <row r="142">
          <cell r="B142">
            <v>45710</v>
          </cell>
        </row>
        <row r="143">
          <cell r="B143">
            <v>45710</v>
          </cell>
        </row>
        <row r="144">
          <cell r="B144">
            <v>45710</v>
          </cell>
        </row>
        <row r="145">
          <cell r="B145">
            <v>45711</v>
          </cell>
        </row>
        <row r="146">
          <cell r="B146">
            <v>45712</v>
          </cell>
        </row>
        <row r="147">
          <cell r="B147">
            <v>45712</v>
          </cell>
        </row>
        <row r="148">
          <cell r="B148">
            <v>45712</v>
          </cell>
        </row>
        <row r="149">
          <cell r="B149">
            <v>45712</v>
          </cell>
        </row>
        <row r="150">
          <cell r="B150">
            <v>45713</v>
          </cell>
        </row>
        <row r="151">
          <cell r="B151">
            <v>45713</v>
          </cell>
        </row>
        <row r="152">
          <cell r="B152">
            <v>45713</v>
          </cell>
        </row>
        <row r="153">
          <cell r="B153">
            <v>45713</v>
          </cell>
        </row>
        <row r="154">
          <cell r="B154">
            <v>45714</v>
          </cell>
        </row>
        <row r="155">
          <cell r="B155">
            <v>45715</v>
          </cell>
        </row>
        <row r="156">
          <cell r="B156">
            <v>45715</v>
          </cell>
        </row>
        <row r="157">
          <cell r="B157">
            <v>45715</v>
          </cell>
        </row>
        <row r="158">
          <cell r="B158">
            <v>45715</v>
          </cell>
        </row>
        <row r="159">
          <cell r="B159">
            <v>45716</v>
          </cell>
        </row>
        <row r="160">
          <cell r="B160">
            <v>45716</v>
          </cell>
        </row>
        <row r="161">
          <cell r="B161">
            <v>45716</v>
          </cell>
        </row>
        <row r="162">
          <cell r="B162">
            <v>45716</v>
          </cell>
        </row>
        <row r="163">
          <cell r="B163">
            <v>45717</v>
          </cell>
        </row>
        <row r="164">
          <cell r="B164">
            <v>45717</v>
          </cell>
        </row>
        <row r="165">
          <cell r="B165">
            <v>45717</v>
          </cell>
        </row>
        <row r="166">
          <cell r="B166">
            <v>45718</v>
          </cell>
        </row>
        <row r="167">
          <cell r="B167">
            <v>45719</v>
          </cell>
        </row>
        <row r="168">
          <cell r="B168">
            <v>45719</v>
          </cell>
        </row>
        <row r="169">
          <cell r="B169">
            <v>45719</v>
          </cell>
        </row>
        <row r="170">
          <cell r="B170">
            <v>45719</v>
          </cell>
        </row>
        <row r="171">
          <cell r="B171">
            <v>45719</v>
          </cell>
        </row>
        <row r="172">
          <cell r="B172">
            <v>45720</v>
          </cell>
        </row>
        <row r="173">
          <cell r="B173">
            <v>45721</v>
          </cell>
        </row>
        <row r="174">
          <cell r="B174">
            <v>45721</v>
          </cell>
        </row>
        <row r="175">
          <cell r="B175">
            <v>45722</v>
          </cell>
        </row>
        <row r="176">
          <cell r="B176">
            <v>45722</v>
          </cell>
        </row>
        <row r="177">
          <cell r="B177">
            <v>45722</v>
          </cell>
        </row>
        <row r="178">
          <cell r="B178">
            <v>45722</v>
          </cell>
        </row>
        <row r="179">
          <cell r="B179">
            <v>45723</v>
          </cell>
        </row>
        <row r="180">
          <cell r="B180">
            <v>45723</v>
          </cell>
        </row>
        <row r="181">
          <cell r="B181">
            <v>45723</v>
          </cell>
        </row>
        <row r="182">
          <cell r="B182">
            <v>45723</v>
          </cell>
        </row>
        <row r="183">
          <cell r="B183">
            <v>45724</v>
          </cell>
        </row>
        <row r="184">
          <cell r="B184">
            <v>45725</v>
          </cell>
        </row>
        <row r="185">
          <cell r="B185">
            <v>45725</v>
          </cell>
        </row>
        <row r="186">
          <cell r="B186">
            <v>45725</v>
          </cell>
        </row>
        <row r="187">
          <cell r="B187">
            <v>45726</v>
          </cell>
        </row>
        <row r="188">
          <cell r="B188">
            <v>45726</v>
          </cell>
        </row>
        <row r="189">
          <cell r="B189">
            <v>45727</v>
          </cell>
        </row>
        <row r="190">
          <cell r="B190">
            <v>45728</v>
          </cell>
        </row>
        <row r="191">
          <cell r="B191">
            <v>45728</v>
          </cell>
        </row>
        <row r="192">
          <cell r="B192">
            <v>45729</v>
          </cell>
        </row>
        <row r="193">
          <cell r="B193">
            <v>45729</v>
          </cell>
        </row>
        <row r="194">
          <cell r="B194">
            <v>45729</v>
          </cell>
        </row>
        <row r="195">
          <cell r="B195">
            <v>45731</v>
          </cell>
        </row>
        <row r="196">
          <cell r="B196">
            <v>45733</v>
          </cell>
        </row>
        <row r="197">
          <cell r="B197">
            <v>45733</v>
          </cell>
        </row>
        <row r="198">
          <cell r="B198">
            <v>45733</v>
          </cell>
        </row>
        <row r="199">
          <cell r="B199">
            <v>45734</v>
          </cell>
        </row>
        <row r="200">
          <cell r="B200">
            <v>45734</v>
          </cell>
        </row>
        <row r="201">
          <cell r="B201">
            <v>45735</v>
          </cell>
        </row>
        <row r="202">
          <cell r="B202">
            <v>45735</v>
          </cell>
        </row>
        <row r="203">
          <cell r="B203">
            <v>45736</v>
          </cell>
        </row>
        <row r="204">
          <cell r="B204">
            <v>45736</v>
          </cell>
        </row>
        <row r="205">
          <cell r="B205">
            <v>45736</v>
          </cell>
        </row>
        <row r="206">
          <cell r="B206">
            <v>45736</v>
          </cell>
        </row>
        <row r="207">
          <cell r="B207">
            <v>45736</v>
          </cell>
        </row>
        <row r="208">
          <cell r="B208">
            <v>45737</v>
          </cell>
        </row>
        <row r="209">
          <cell r="B209">
            <v>45737</v>
          </cell>
        </row>
        <row r="210">
          <cell r="B210">
            <v>45737</v>
          </cell>
        </row>
        <row r="211">
          <cell r="B211">
            <v>45737</v>
          </cell>
        </row>
        <row r="212">
          <cell r="B212">
            <v>45738</v>
          </cell>
        </row>
        <row r="213">
          <cell r="B213">
            <v>45738</v>
          </cell>
        </row>
        <row r="214">
          <cell r="B214">
            <v>45738</v>
          </cell>
        </row>
        <row r="215">
          <cell r="B215">
            <v>45738</v>
          </cell>
        </row>
        <row r="216">
          <cell r="B216">
            <v>45738</v>
          </cell>
        </row>
        <row r="217">
          <cell r="B217">
            <v>45739</v>
          </cell>
        </row>
        <row r="218">
          <cell r="B218">
            <v>45739</v>
          </cell>
        </row>
        <row r="219">
          <cell r="B219">
            <v>45739</v>
          </cell>
        </row>
        <row r="220">
          <cell r="B220">
            <v>45739</v>
          </cell>
        </row>
        <row r="221">
          <cell r="B221">
            <v>45740</v>
          </cell>
        </row>
        <row r="222">
          <cell r="B222">
            <v>45740</v>
          </cell>
        </row>
        <row r="223">
          <cell r="B223">
            <v>45741</v>
          </cell>
        </row>
        <row r="224">
          <cell r="B224">
            <v>45741</v>
          </cell>
        </row>
        <row r="225">
          <cell r="B225">
            <v>45741</v>
          </cell>
        </row>
        <row r="226">
          <cell r="B226">
            <v>45741</v>
          </cell>
        </row>
        <row r="227">
          <cell r="B227">
            <v>45742</v>
          </cell>
        </row>
        <row r="228">
          <cell r="B228">
            <v>45742</v>
          </cell>
        </row>
        <row r="229">
          <cell r="B229">
            <v>45742</v>
          </cell>
        </row>
        <row r="230">
          <cell r="B230">
            <v>45743</v>
          </cell>
        </row>
        <row r="231">
          <cell r="B231">
            <v>45743</v>
          </cell>
        </row>
        <row r="232">
          <cell r="B232">
            <v>45744</v>
          </cell>
        </row>
        <row r="233">
          <cell r="B233">
            <v>45745</v>
          </cell>
        </row>
        <row r="234">
          <cell r="B234">
            <v>45746</v>
          </cell>
        </row>
        <row r="235">
          <cell r="B235">
            <v>45747</v>
          </cell>
        </row>
        <row r="236">
          <cell r="B236">
            <v>45748</v>
          </cell>
        </row>
        <row r="237">
          <cell r="B237">
            <v>45748</v>
          </cell>
        </row>
        <row r="238">
          <cell r="B238">
            <v>45748</v>
          </cell>
        </row>
        <row r="239">
          <cell r="B239">
            <v>45749</v>
          </cell>
        </row>
        <row r="240">
          <cell r="B240">
            <v>45749</v>
          </cell>
        </row>
        <row r="241">
          <cell r="B241">
            <v>45749</v>
          </cell>
        </row>
        <row r="242">
          <cell r="B242">
            <v>45749</v>
          </cell>
        </row>
        <row r="243">
          <cell r="B243">
            <v>45751</v>
          </cell>
        </row>
        <row r="244">
          <cell r="B244">
            <v>45751</v>
          </cell>
        </row>
        <row r="245">
          <cell r="B245">
            <v>45751</v>
          </cell>
        </row>
        <row r="246">
          <cell r="B246">
            <v>45752</v>
          </cell>
        </row>
        <row r="247">
          <cell r="B247">
            <v>45752</v>
          </cell>
        </row>
        <row r="248">
          <cell r="B248">
            <v>45753</v>
          </cell>
        </row>
        <row r="249">
          <cell r="B249">
            <v>45755</v>
          </cell>
        </row>
        <row r="250">
          <cell r="B250">
            <v>45755</v>
          </cell>
        </row>
        <row r="251">
          <cell r="B251">
            <v>45755</v>
          </cell>
        </row>
        <row r="252">
          <cell r="B252">
            <v>45755</v>
          </cell>
        </row>
        <row r="253">
          <cell r="B253">
            <v>45755</v>
          </cell>
        </row>
        <row r="254">
          <cell r="B254">
            <v>45756</v>
          </cell>
        </row>
        <row r="255">
          <cell r="B255">
            <v>45756</v>
          </cell>
        </row>
        <row r="256">
          <cell r="B256">
            <v>45756</v>
          </cell>
        </row>
        <row r="257">
          <cell r="B257">
            <v>45756</v>
          </cell>
        </row>
        <row r="258">
          <cell r="B258">
            <v>45756</v>
          </cell>
        </row>
        <row r="259">
          <cell r="B259">
            <v>45756</v>
          </cell>
        </row>
        <row r="260">
          <cell r="B260">
            <v>45757</v>
          </cell>
        </row>
        <row r="261">
          <cell r="B261">
            <v>45757</v>
          </cell>
        </row>
        <row r="262">
          <cell r="B262">
            <v>45758</v>
          </cell>
        </row>
        <row r="263">
          <cell r="B263">
            <v>45759</v>
          </cell>
        </row>
        <row r="264">
          <cell r="B264">
            <v>45759</v>
          </cell>
        </row>
        <row r="265">
          <cell r="B265">
            <v>45759</v>
          </cell>
        </row>
        <row r="266">
          <cell r="B266">
            <v>45759</v>
          </cell>
        </row>
        <row r="267">
          <cell r="B267">
            <v>45759</v>
          </cell>
        </row>
        <row r="268">
          <cell r="B268">
            <v>45760</v>
          </cell>
        </row>
        <row r="269">
          <cell r="B269">
            <v>45760</v>
          </cell>
        </row>
        <row r="270">
          <cell r="B270">
            <v>45760</v>
          </cell>
        </row>
        <row r="271">
          <cell r="B271">
            <v>45762</v>
          </cell>
        </row>
        <row r="272">
          <cell r="B272">
            <v>45762</v>
          </cell>
        </row>
        <row r="273">
          <cell r="B273">
            <v>45763</v>
          </cell>
        </row>
        <row r="274">
          <cell r="B274">
            <v>45764</v>
          </cell>
        </row>
        <row r="275">
          <cell r="B275">
            <v>45765</v>
          </cell>
        </row>
        <row r="276">
          <cell r="B276">
            <v>45765</v>
          </cell>
        </row>
        <row r="277">
          <cell r="B277">
            <v>45765</v>
          </cell>
        </row>
        <row r="278">
          <cell r="B278">
            <v>45765</v>
          </cell>
        </row>
        <row r="279">
          <cell r="B279">
            <v>45766</v>
          </cell>
        </row>
        <row r="280">
          <cell r="B280">
            <v>45766</v>
          </cell>
        </row>
        <row r="281">
          <cell r="B281">
            <v>45766</v>
          </cell>
        </row>
        <row r="282">
          <cell r="B282">
            <v>45766</v>
          </cell>
        </row>
        <row r="283">
          <cell r="B283">
            <v>45766</v>
          </cell>
        </row>
        <row r="284">
          <cell r="B284">
            <v>45766</v>
          </cell>
        </row>
        <row r="285">
          <cell r="B285">
            <v>45767</v>
          </cell>
        </row>
        <row r="286">
          <cell r="B286">
            <v>45767</v>
          </cell>
        </row>
        <row r="287">
          <cell r="B287">
            <v>45767</v>
          </cell>
        </row>
        <row r="288">
          <cell r="B288">
            <v>45767</v>
          </cell>
        </row>
        <row r="289">
          <cell r="B289">
            <v>45767</v>
          </cell>
        </row>
        <row r="290">
          <cell r="B290">
            <v>45768</v>
          </cell>
        </row>
        <row r="291">
          <cell r="B291">
            <v>45768</v>
          </cell>
        </row>
        <row r="292">
          <cell r="B292">
            <v>45769</v>
          </cell>
        </row>
        <row r="293">
          <cell r="B293">
            <v>45769</v>
          </cell>
        </row>
        <row r="294">
          <cell r="B294">
            <v>45769</v>
          </cell>
        </row>
        <row r="295">
          <cell r="B295">
            <v>45770</v>
          </cell>
        </row>
        <row r="296">
          <cell r="B296">
            <v>45770</v>
          </cell>
        </row>
        <row r="297">
          <cell r="B297">
            <v>45770</v>
          </cell>
        </row>
        <row r="298">
          <cell r="B298">
            <v>45770</v>
          </cell>
        </row>
        <row r="299">
          <cell r="B299">
            <v>45770</v>
          </cell>
        </row>
        <row r="300">
          <cell r="B300">
            <v>45770</v>
          </cell>
        </row>
        <row r="301">
          <cell r="B301">
            <v>45770</v>
          </cell>
        </row>
        <row r="302">
          <cell r="B302">
            <v>45771</v>
          </cell>
        </row>
        <row r="303">
          <cell r="B303">
            <v>45771</v>
          </cell>
        </row>
        <row r="304">
          <cell r="B304">
            <v>45772</v>
          </cell>
        </row>
        <row r="305">
          <cell r="B305">
            <v>45772</v>
          </cell>
        </row>
        <row r="306">
          <cell r="B306">
            <v>45772</v>
          </cell>
        </row>
        <row r="307">
          <cell r="B307">
            <v>45773</v>
          </cell>
        </row>
        <row r="308">
          <cell r="B308">
            <v>45773</v>
          </cell>
        </row>
        <row r="309">
          <cell r="B309">
            <v>45773</v>
          </cell>
        </row>
        <row r="310">
          <cell r="B310">
            <v>45774</v>
          </cell>
        </row>
        <row r="311">
          <cell r="B311">
            <v>45774</v>
          </cell>
        </row>
        <row r="312">
          <cell r="B312">
            <v>45774</v>
          </cell>
        </row>
        <row r="313">
          <cell r="B313">
            <v>45775</v>
          </cell>
        </row>
        <row r="314">
          <cell r="B314">
            <v>45775</v>
          </cell>
        </row>
        <row r="315">
          <cell r="B315">
            <v>45775</v>
          </cell>
        </row>
        <row r="316">
          <cell r="B316">
            <v>45776</v>
          </cell>
        </row>
        <row r="317">
          <cell r="B317">
            <v>45776</v>
          </cell>
        </row>
        <row r="318">
          <cell r="B318">
            <v>45776</v>
          </cell>
        </row>
        <row r="319">
          <cell r="B319">
            <v>45777</v>
          </cell>
        </row>
        <row r="320">
          <cell r="B320">
            <v>45777</v>
          </cell>
        </row>
        <row r="321">
          <cell r="B321">
            <v>45777</v>
          </cell>
        </row>
        <row r="322">
          <cell r="B322">
            <v>45778</v>
          </cell>
        </row>
        <row r="323">
          <cell r="B323">
            <v>45778</v>
          </cell>
        </row>
        <row r="324">
          <cell r="B324">
            <v>45778</v>
          </cell>
        </row>
        <row r="325">
          <cell r="B325">
            <v>45779</v>
          </cell>
        </row>
        <row r="326">
          <cell r="B326">
            <v>45779</v>
          </cell>
        </row>
        <row r="327">
          <cell r="B327">
            <v>45779</v>
          </cell>
        </row>
        <row r="328">
          <cell r="B328">
            <v>45780</v>
          </cell>
        </row>
        <row r="329">
          <cell r="B329">
            <v>45780</v>
          </cell>
        </row>
        <row r="330">
          <cell r="B330">
            <v>45780</v>
          </cell>
        </row>
        <row r="331">
          <cell r="B331">
            <v>45780</v>
          </cell>
        </row>
        <row r="332">
          <cell r="B332">
            <v>45780</v>
          </cell>
        </row>
        <row r="333">
          <cell r="B333">
            <v>45781</v>
          </cell>
        </row>
        <row r="334">
          <cell r="B334">
            <v>45781</v>
          </cell>
        </row>
        <row r="335">
          <cell r="B335">
            <v>45781</v>
          </cell>
        </row>
        <row r="336">
          <cell r="B336">
            <v>45782</v>
          </cell>
        </row>
        <row r="337">
          <cell r="B337">
            <v>45782</v>
          </cell>
        </row>
        <row r="338">
          <cell r="B338">
            <v>45782</v>
          </cell>
        </row>
        <row r="339">
          <cell r="B339">
            <v>45782</v>
          </cell>
        </row>
        <row r="340">
          <cell r="B340">
            <v>45782</v>
          </cell>
        </row>
        <row r="341">
          <cell r="B341">
            <v>45783</v>
          </cell>
        </row>
        <row r="342">
          <cell r="B342">
            <v>45783</v>
          </cell>
        </row>
        <row r="343">
          <cell r="B343">
            <v>45783</v>
          </cell>
        </row>
        <row r="344">
          <cell r="B344">
            <v>45783</v>
          </cell>
        </row>
        <row r="345">
          <cell r="B345">
            <v>45783</v>
          </cell>
        </row>
        <row r="346">
          <cell r="B346">
            <v>45784</v>
          </cell>
        </row>
        <row r="347">
          <cell r="B347">
            <v>45784</v>
          </cell>
        </row>
        <row r="348">
          <cell r="B348">
            <v>45784</v>
          </cell>
        </row>
        <row r="349">
          <cell r="B349">
            <v>45784</v>
          </cell>
        </row>
        <row r="350">
          <cell r="B350">
            <v>45784</v>
          </cell>
        </row>
        <row r="351">
          <cell r="B351">
            <v>45785</v>
          </cell>
        </row>
        <row r="352">
          <cell r="B352">
            <v>45785</v>
          </cell>
        </row>
        <row r="353">
          <cell r="B353">
            <v>45785</v>
          </cell>
        </row>
        <row r="354">
          <cell r="B354">
            <v>45785</v>
          </cell>
        </row>
        <row r="355">
          <cell r="B355">
            <v>45785</v>
          </cell>
        </row>
        <row r="356">
          <cell r="B356">
            <v>45785</v>
          </cell>
        </row>
        <row r="357">
          <cell r="B357">
            <v>45786</v>
          </cell>
        </row>
        <row r="358">
          <cell r="B358">
            <v>45786</v>
          </cell>
        </row>
        <row r="359">
          <cell r="B359">
            <v>45786</v>
          </cell>
        </row>
        <row r="360">
          <cell r="B360">
            <v>45787</v>
          </cell>
        </row>
        <row r="361">
          <cell r="B361">
            <v>45787</v>
          </cell>
        </row>
        <row r="362">
          <cell r="B362">
            <v>45788</v>
          </cell>
        </row>
        <row r="363">
          <cell r="B363">
            <v>45789</v>
          </cell>
        </row>
        <row r="364">
          <cell r="B364">
            <v>45790</v>
          </cell>
        </row>
        <row r="365">
          <cell r="B365">
            <v>45790</v>
          </cell>
        </row>
        <row r="366">
          <cell r="B366">
            <v>45791</v>
          </cell>
        </row>
        <row r="367">
          <cell r="B367">
            <v>45791</v>
          </cell>
        </row>
        <row r="368">
          <cell r="B368">
            <v>45791</v>
          </cell>
        </row>
        <row r="369">
          <cell r="B369">
            <v>45792</v>
          </cell>
        </row>
        <row r="370">
          <cell r="B370">
            <v>45792</v>
          </cell>
        </row>
        <row r="371">
          <cell r="B371">
            <v>45792</v>
          </cell>
        </row>
        <row r="372">
          <cell r="B372">
            <v>45793</v>
          </cell>
        </row>
        <row r="373">
          <cell r="B373">
            <v>45793</v>
          </cell>
        </row>
        <row r="374">
          <cell r="B374">
            <v>45793</v>
          </cell>
        </row>
        <row r="375">
          <cell r="B375">
            <v>45793</v>
          </cell>
        </row>
        <row r="376">
          <cell r="B376">
            <v>45793</v>
          </cell>
        </row>
        <row r="377">
          <cell r="B377">
            <v>45793</v>
          </cell>
        </row>
        <row r="378">
          <cell r="B378">
            <v>45793</v>
          </cell>
        </row>
        <row r="379">
          <cell r="B379">
            <v>45793</v>
          </cell>
        </row>
        <row r="380">
          <cell r="B380">
            <v>45793</v>
          </cell>
        </row>
        <row r="381">
          <cell r="B381">
            <v>45793</v>
          </cell>
        </row>
        <row r="382">
          <cell r="B382">
            <v>45793</v>
          </cell>
        </row>
        <row r="383">
          <cell r="B383">
            <v>45794</v>
          </cell>
        </row>
        <row r="384">
          <cell r="B384">
            <v>45794</v>
          </cell>
        </row>
        <row r="385">
          <cell r="B385">
            <v>45794</v>
          </cell>
        </row>
        <row r="386">
          <cell r="B386">
            <v>45795</v>
          </cell>
        </row>
        <row r="387">
          <cell r="B387">
            <v>45795</v>
          </cell>
        </row>
        <row r="388">
          <cell r="B388">
            <v>45796</v>
          </cell>
        </row>
        <row r="389">
          <cell r="B389">
            <v>45796</v>
          </cell>
        </row>
        <row r="390">
          <cell r="B390">
            <v>45796</v>
          </cell>
        </row>
        <row r="391">
          <cell r="B391">
            <v>45797</v>
          </cell>
        </row>
        <row r="392">
          <cell r="B392">
            <v>45797</v>
          </cell>
        </row>
        <row r="393">
          <cell r="B393">
            <v>45797</v>
          </cell>
        </row>
        <row r="394">
          <cell r="B394">
            <v>45798</v>
          </cell>
        </row>
        <row r="395">
          <cell r="B395">
            <v>45798</v>
          </cell>
        </row>
        <row r="396">
          <cell r="B396">
            <v>45798</v>
          </cell>
        </row>
        <row r="397">
          <cell r="B397">
            <v>45799</v>
          </cell>
        </row>
        <row r="398">
          <cell r="B398">
            <v>45799</v>
          </cell>
        </row>
        <row r="399">
          <cell r="B399">
            <v>45799</v>
          </cell>
        </row>
        <row r="400">
          <cell r="B400">
            <v>45799</v>
          </cell>
        </row>
        <row r="401">
          <cell r="B401">
            <v>45800</v>
          </cell>
        </row>
        <row r="402">
          <cell r="B402">
            <v>45800</v>
          </cell>
        </row>
        <row r="403">
          <cell r="B403">
            <v>45800</v>
          </cell>
        </row>
        <row r="404">
          <cell r="B404">
            <v>45800</v>
          </cell>
        </row>
        <row r="405">
          <cell r="B405">
            <v>45800</v>
          </cell>
        </row>
        <row r="406">
          <cell r="B406">
            <v>45800</v>
          </cell>
        </row>
        <row r="407">
          <cell r="B407">
            <v>45800</v>
          </cell>
        </row>
        <row r="408">
          <cell r="B408">
            <v>45800</v>
          </cell>
        </row>
        <row r="409">
          <cell r="B409">
            <v>45800</v>
          </cell>
        </row>
        <row r="410">
          <cell r="B410">
            <v>45801</v>
          </cell>
        </row>
        <row r="411">
          <cell r="B411">
            <v>45802</v>
          </cell>
        </row>
        <row r="412">
          <cell r="B412">
            <v>45802</v>
          </cell>
        </row>
        <row r="413">
          <cell r="B413">
            <v>45802</v>
          </cell>
        </row>
        <row r="414">
          <cell r="B414">
            <v>45803</v>
          </cell>
        </row>
        <row r="415">
          <cell r="B415">
            <v>45803</v>
          </cell>
        </row>
        <row r="416">
          <cell r="B416">
            <v>45803</v>
          </cell>
        </row>
        <row r="417">
          <cell r="B417">
            <v>45804</v>
          </cell>
        </row>
        <row r="418">
          <cell r="B418">
            <v>45804</v>
          </cell>
        </row>
        <row r="419">
          <cell r="B419">
            <v>45804</v>
          </cell>
        </row>
        <row r="420">
          <cell r="B420">
            <v>45805</v>
          </cell>
        </row>
        <row r="421">
          <cell r="B421">
            <v>45806</v>
          </cell>
        </row>
        <row r="422">
          <cell r="B422">
            <v>45807</v>
          </cell>
        </row>
        <row r="423">
          <cell r="B423">
            <v>45807</v>
          </cell>
        </row>
        <row r="424">
          <cell r="B424">
            <v>45808</v>
          </cell>
        </row>
        <row r="425">
          <cell r="B425">
            <v>45808</v>
          </cell>
        </row>
        <row r="426">
          <cell r="B426">
            <v>45808</v>
          </cell>
        </row>
        <row r="427">
          <cell r="B427">
            <v>45809</v>
          </cell>
        </row>
        <row r="428">
          <cell r="B428">
            <v>45809</v>
          </cell>
        </row>
        <row r="429">
          <cell r="B429">
            <v>45809</v>
          </cell>
        </row>
        <row r="430">
          <cell r="B430">
            <v>45810</v>
          </cell>
        </row>
        <row r="431">
          <cell r="B431">
            <v>45810</v>
          </cell>
        </row>
        <row r="432">
          <cell r="B432">
            <v>45810</v>
          </cell>
        </row>
        <row r="433">
          <cell r="B433">
            <v>45811</v>
          </cell>
        </row>
        <row r="434">
          <cell r="B434">
            <v>45811</v>
          </cell>
        </row>
        <row r="435">
          <cell r="B435">
            <v>45811</v>
          </cell>
        </row>
        <row r="436">
          <cell r="B436">
            <v>45812</v>
          </cell>
        </row>
        <row r="437">
          <cell r="B437">
            <v>45812</v>
          </cell>
        </row>
        <row r="438">
          <cell r="B438">
            <v>45812</v>
          </cell>
        </row>
        <row r="439">
          <cell r="B439">
            <v>45812</v>
          </cell>
        </row>
        <row r="440">
          <cell r="B440">
            <v>45813</v>
          </cell>
        </row>
        <row r="441">
          <cell r="B441">
            <v>45813</v>
          </cell>
        </row>
        <row r="442">
          <cell r="B442">
            <v>45814</v>
          </cell>
        </row>
        <row r="443">
          <cell r="B443">
            <v>45814</v>
          </cell>
        </row>
        <row r="444">
          <cell r="B444">
            <v>45814</v>
          </cell>
        </row>
        <row r="445">
          <cell r="B445">
            <v>45814</v>
          </cell>
        </row>
        <row r="446">
          <cell r="B446">
            <v>45815</v>
          </cell>
        </row>
        <row r="447">
          <cell r="B447">
            <v>45815</v>
          </cell>
        </row>
        <row r="448">
          <cell r="B448">
            <v>45816</v>
          </cell>
        </row>
        <row r="449">
          <cell r="B449">
            <v>45816</v>
          </cell>
        </row>
        <row r="450">
          <cell r="B450">
            <v>45817</v>
          </cell>
        </row>
        <row r="451">
          <cell r="B451">
            <v>45817</v>
          </cell>
        </row>
        <row r="452">
          <cell r="B452">
            <v>45817</v>
          </cell>
        </row>
        <row r="453">
          <cell r="B453">
            <v>45818</v>
          </cell>
        </row>
        <row r="454">
          <cell r="B454">
            <v>45818</v>
          </cell>
        </row>
        <row r="455">
          <cell r="B455">
            <v>45818</v>
          </cell>
        </row>
        <row r="456">
          <cell r="B456">
            <v>45818</v>
          </cell>
        </row>
        <row r="457">
          <cell r="B457">
            <v>45819</v>
          </cell>
        </row>
        <row r="458">
          <cell r="B458">
            <v>45819</v>
          </cell>
        </row>
        <row r="459">
          <cell r="B459">
            <v>45819</v>
          </cell>
        </row>
        <row r="460">
          <cell r="B460">
            <v>45819</v>
          </cell>
        </row>
        <row r="461">
          <cell r="B461">
            <v>45819</v>
          </cell>
        </row>
        <row r="462">
          <cell r="B462">
            <v>45820</v>
          </cell>
        </row>
        <row r="463">
          <cell r="B463">
            <v>45821</v>
          </cell>
        </row>
        <row r="464">
          <cell r="B464">
            <v>45822</v>
          </cell>
        </row>
        <row r="465">
          <cell r="B465">
            <v>45823</v>
          </cell>
        </row>
        <row r="466">
          <cell r="B466">
            <v>45823</v>
          </cell>
        </row>
        <row r="467">
          <cell r="B467">
            <v>45824</v>
          </cell>
        </row>
        <row r="468">
          <cell r="B468">
            <v>45824</v>
          </cell>
        </row>
        <row r="469">
          <cell r="B469">
            <v>45825</v>
          </cell>
        </row>
        <row r="470">
          <cell r="B470">
            <v>45825</v>
          </cell>
        </row>
        <row r="471">
          <cell r="B471">
            <v>45825</v>
          </cell>
        </row>
        <row r="472">
          <cell r="B472">
            <v>45826</v>
          </cell>
        </row>
        <row r="473">
          <cell r="B473">
            <v>45827</v>
          </cell>
        </row>
        <row r="474">
          <cell r="B474">
            <v>45827</v>
          </cell>
        </row>
        <row r="475">
          <cell r="B475">
            <v>45827</v>
          </cell>
        </row>
        <row r="476">
          <cell r="B476">
            <v>45827</v>
          </cell>
        </row>
        <row r="477">
          <cell r="B477">
            <v>45827</v>
          </cell>
        </row>
        <row r="478">
          <cell r="B478">
            <v>45828</v>
          </cell>
        </row>
        <row r="479">
          <cell r="B479">
            <v>45828</v>
          </cell>
        </row>
        <row r="480">
          <cell r="B480">
            <v>45829</v>
          </cell>
        </row>
        <row r="481">
          <cell r="B481">
            <v>45829</v>
          </cell>
        </row>
        <row r="482">
          <cell r="B482">
            <v>45830</v>
          </cell>
        </row>
        <row r="483">
          <cell r="B483">
            <v>45830</v>
          </cell>
        </row>
        <row r="484">
          <cell r="B484">
            <v>45830</v>
          </cell>
        </row>
        <row r="485">
          <cell r="B485">
            <v>45830</v>
          </cell>
        </row>
        <row r="486">
          <cell r="B486">
            <v>45831</v>
          </cell>
        </row>
        <row r="487">
          <cell r="B487">
            <v>45831</v>
          </cell>
        </row>
        <row r="488">
          <cell r="B488">
            <v>45832</v>
          </cell>
        </row>
        <row r="489">
          <cell r="B489">
            <v>45832</v>
          </cell>
        </row>
        <row r="490">
          <cell r="B490">
            <v>45832</v>
          </cell>
        </row>
        <row r="491">
          <cell r="B491">
            <v>45832</v>
          </cell>
        </row>
        <row r="492">
          <cell r="B492">
            <v>45832</v>
          </cell>
        </row>
        <row r="493">
          <cell r="B493">
            <v>45833</v>
          </cell>
        </row>
        <row r="494">
          <cell r="B494">
            <v>45834</v>
          </cell>
        </row>
        <row r="495">
          <cell r="B495">
            <v>45834</v>
          </cell>
        </row>
        <row r="496">
          <cell r="B496">
            <v>45834</v>
          </cell>
        </row>
        <row r="497">
          <cell r="B497">
            <v>45835</v>
          </cell>
        </row>
        <row r="498">
          <cell r="B498">
            <v>45836</v>
          </cell>
        </row>
        <row r="499">
          <cell r="B499">
            <v>45837</v>
          </cell>
        </row>
        <row r="500">
          <cell r="B500">
            <v>45837</v>
          </cell>
        </row>
        <row r="501">
          <cell r="B501">
            <v>45837</v>
          </cell>
        </row>
        <row r="502">
          <cell r="B502">
            <v>45838</v>
          </cell>
        </row>
        <row r="503">
          <cell r="B503">
            <v>45838</v>
          </cell>
        </row>
        <row r="504">
          <cell r="B504">
            <v>45839</v>
          </cell>
        </row>
        <row r="505">
          <cell r="B505">
            <v>45839</v>
          </cell>
        </row>
        <row r="506">
          <cell r="B506">
            <v>45839</v>
          </cell>
        </row>
        <row r="507">
          <cell r="B507">
            <v>45839</v>
          </cell>
        </row>
        <row r="508">
          <cell r="B508">
            <v>45841</v>
          </cell>
        </row>
        <row r="509">
          <cell r="B509">
            <v>45841</v>
          </cell>
        </row>
        <row r="510">
          <cell r="B510">
            <v>45842</v>
          </cell>
        </row>
        <row r="511">
          <cell r="B511">
            <v>45843</v>
          </cell>
        </row>
        <row r="512">
          <cell r="B512">
            <v>45843</v>
          </cell>
        </row>
        <row r="513">
          <cell r="B513">
            <v>45843</v>
          </cell>
        </row>
        <row r="514">
          <cell r="B514">
            <v>45843</v>
          </cell>
        </row>
        <row r="515">
          <cell r="B515">
            <v>45844</v>
          </cell>
        </row>
        <row r="516">
          <cell r="B516">
            <v>45844</v>
          </cell>
        </row>
        <row r="517">
          <cell r="B517">
            <v>45844</v>
          </cell>
        </row>
        <row r="518">
          <cell r="B518">
            <v>45846</v>
          </cell>
        </row>
        <row r="519">
          <cell r="B519">
            <v>45846</v>
          </cell>
        </row>
        <row r="520">
          <cell r="B520">
            <v>45847</v>
          </cell>
        </row>
        <row r="521">
          <cell r="B521">
            <v>45847</v>
          </cell>
        </row>
        <row r="522">
          <cell r="B522">
            <v>45847</v>
          </cell>
        </row>
        <row r="523">
          <cell r="B523">
            <v>45847</v>
          </cell>
        </row>
        <row r="524">
          <cell r="B524">
            <v>45849</v>
          </cell>
        </row>
        <row r="525">
          <cell r="B525">
            <v>45849</v>
          </cell>
        </row>
        <row r="526">
          <cell r="B526">
            <v>45850</v>
          </cell>
        </row>
        <row r="527">
          <cell r="B527">
            <v>45851</v>
          </cell>
        </row>
        <row r="528">
          <cell r="B528">
            <v>45852</v>
          </cell>
        </row>
        <row r="529">
          <cell r="B529">
            <v>45852</v>
          </cell>
        </row>
        <row r="530">
          <cell r="B530">
            <v>45852</v>
          </cell>
        </row>
        <row r="531">
          <cell r="B531">
            <v>45852</v>
          </cell>
        </row>
        <row r="532">
          <cell r="B532">
            <v>45852</v>
          </cell>
        </row>
        <row r="533">
          <cell r="B533">
            <v>45852</v>
          </cell>
        </row>
        <row r="534">
          <cell r="B534">
            <v>45852</v>
          </cell>
        </row>
        <row r="535">
          <cell r="B535">
            <v>45852</v>
          </cell>
        </row>
        <row r="536">
          <cell r="B536">
            <v>45852</v>
          </cell>
        </row>
        <row r="537">
          <cell r="B537">
            <v>45852</v>
          </cell>
        </row>
        <row r="538">
          <cell r="B538">
            <v>45853</v>
          </cell>
        </row>
        <row r="539">
          <cell r="B539">
            <v>45853</v>
          </cell>
        </row>
        <row r="540">
          <cell r="B540">
            <v>45854</v>
          </cell>
        </row>
        <row r="541">
          <cell r="B541">
            <v>45854</v>
          </cell>
        </row>
        <row r="542">
          <cell r="B542">
            <v>45855</v>
          </cell>
        </row>
        <row r="543">
          <cell r="B543">
            <v>45855</v>
          </cell>
        </row>
        <row r="544">
          <cell r="B544">
            <v>45857</v>
          </cell>
        </row>
        <row r="545">
          <cell r="B545">
            <v>45857</v>
          </cell>
        </row>
        <row r="546">
          <cell r="B546">
            <v>45857</v>
          </cell>
        </row>
        <row r="547">
          <cell r="B547">
            <v>45857</v>
          </cell>
        </row>
        <row r="548">
          <cell r="B548">
            <v>45859</v>
          </cell>
        </row>
        <row r="549">
          <cell r="B549">
            <v>45860</v>
          </cell>
        </row>
        <row r="550">
          <cell r="B550">
            <v>45860</v>
          </cell>
        </row>
        <row r="551">
          <cell r="B551">
            <v>45861</v>
          </cell>
        </row>
        <row r="552">
          <cell r="B552">
            <v>45862</v>
          </cell>
        </row>
        <row r="553">
          <cell r="B553">
            <v>45862</v>
          </cell>
        </row>
        <row r="554">
          <cell r="B554">
            <v>45862</v>
          </cell>
        </row>
        <row r="555">
          <cell r="B555">
            <v>45862</v>
          </cell>
        </row>
        <row r="556">
          <cell r="B556">
            <v>45862</v>
          </cell>
        </row>
        <row r="557">
          <cell r="B557">
            <v>45863</v>
          </cell>
        </row>
        <row r="558">
          <cell r="B558">
            <v>45863</v>
          </cell>
        </row>
        <row r="559">
          <cell r="B559">
            <v>45863</v>
          </cell>
        </row>
        <row r="560">
          <cell r="B560">
            <v>45864</v>
          </cell>
        </row>
        <row r="561">
          <cell r="B561">
            <v>45864</v>
          </cell>
        </row>
        <row r="562">
          <cell r="B562">
            <v>45864</v>
          </cell>
        </row>
        <row r="563">
          <cell r="B563">
            <v>45865</v>
          </cell>
        </row>
        <row r="564">
          <cell r="B564">
            <v>45865</v>
          </cell>
        </row>
        <row r="565">
          <cell r="B565">
            <v>45865</v>
          </cell>
        </row>
        <row r="566">
          <cell r="B566">
            <v>45866</v>
          </cell>
        </row>
        <row r="567">
          <cell r="B567">
            <v>45866</v>
          </cell>
        </row>
        <row r="568">
          <cell r="B568">
            <v>45866</v>
          </cell>
        </row>
        <row r="569">
          <cell r="B569">
            <v>45866</v>
          </cell>
        </row>
        <row r="570">
          <cell r="B570">
            <v>45866</v>
          </cell>
        </row>
        <row r="571">
          <cell r="B571">
            <v>45867</v>
          </cell>
        </row>
        <row r="572">
          <cell r="B572">
            <v>45867</v>
          </cell>
        </row>
        <row r="573">
          <cell r="B573">
            <v>45868</v>
          </cell>
        </row>
        <row r="574">
          <cell r="B574">
            <v>45868</v>
          </cell>
        </row>
        <row r="575">
          <cell r="B575">
            <v>45869</v>
          </cell>
        </row>
        <row r="576">
          <cell r="B576">
            <v>45870</v>
          </cell>
        </row>
        <row r="577">
          <cell r="B577">
            <v>45870</v>
          </cell>
        </row>
        <row r="578">
          <cell r="B578">
            <v>45870</v>
          </cell>
        </row>
        <row r="579">
          <cell r="B579">
            <v>45871</v>
          </cell>
        </row>
        <row r="580">
          <cell r="B580">
            <v>45872</v>
          </cell>
        </row>
        <row r="581">
          <cell r="B581">
            <v>45872</v>
          </cell>
        </row>
        <row r="582">
          <cell r="B582">
            <v>45872</v>
          </cell>
        </row>
        <row r="583">
          <cell r="B583">
            <v>45873</v>
          </cell>
        </row>
        <row r="584">
          <cell r="B584">
            <v>45873</v>
          </cell>
        </row>
        <row r="585">
          <cell r="B585">
            <v>45873</v>
          </cell>
        </row>
        <row r="586">
          <cell r="B586">
            <v>45873</v>
          </cell>
        </row>
        <row r="587">
          <cell r="B587">
            <v>45874</v>
          </cell>
        </row>
        <row r="588">
          <cell r="B588">
            <v>45874</v>
          </cell>
        </row>
        <row r="589">
          <cell r="B589">
            <v>45874</v>
          </cell>
        </row>
        <row r="590">
          <cell r="B590">
            <v>45874</v>
          </cell>
        </row>
        <row r="591">
          <cell r="B591">
            <v>45874</v>
          </cell>
        </row>
        <row r="592">
          <cell r="B592">
            <v>45874</v>
          </cell>
        </row>
        <row r="593">
          <cell r="B593">
            <v>45874</v>
          </cell>
        </row>
        <row r="594">
          <cell r="B594">
            <v>45874</v>
          </cell>
        </row>
        <row r="595">
          <cell r="B595">
            <v>45875</v>
          </cell>
        </row>
        <row r="596">
          <cell r="B596">
            <v>45875</v>
          </cell>
        </row>
        <row r="597">
          <cell r="B597">
            <v>45876</v>
          </cell>
        </row>
        <row r="598">
          <cell r="B598">
            <v>45876</v>
          </cell>
        </row>
        <row r="599">
          <cell r="B599">
            <v>45877</v>
          </cell>
        </row>
        <row r="600">
          <cell r="B600">
            <v>45877</v>
          </cell>
        </row>
        <row r="601">
          <cell r="B601">
            <v>45877</v>
          </cell>
        </row>
        <row r="602">
          <cell r="B602">
            <v>45877</v>
          </cell>
        </row>
        <row r="603">
          <cell r="B603">
            <v>45878</v>
          </cell>
        </row>
        <row r="604">
          <cell r="B604">
            <v>45878</v>
          </cell>
        </row>
        <row r="605">
          <cell r="B605">
            <v>45878</v>
          </cell>
        </row>
        <row r="606">
          <cell r="B606">
            <v>45878</v>
          </cell>
        </row>
        <row r="607">
          <cell r="B607">
            <v>45879</v>
          </cell>
        </row>
        <row r="608">
          <cell r="B608">
            <v>45880</v>
          </cell>
        </row>
        <row r="609">
          <cell r="B609">
            <v>45880</v>
          </cell>
        </row>
        <row r="610">
          <cell r="B610">
            <v>45880</v>
          </cell>
        </row>
        <row r="611">
          <cell r="B611">
            <v>45881</v>
          </cell>
        </row>
        <row r="612">
          <cell r="B612">
            <v>45881</v>
          </cell>
        </row>
        <row r="613">
          <cell r="B613">
            <v>45881</v>
          </cell>
        </row>
        <row r="614">
          <cell r="B614">
            <v>45881</v>
          </cell>
        </row>
        <row r="615">
          <cell r="B615">
            <v>45882</v>
          </cell>
        </row>
        <row r="616">
          <cell r="B616">
            <v>45882</v>
          </cell>
        </row>
        <row r="617">
          <cell r="B617">
            <v>45883</v>
          </cell>
        </row>
        <row r="618">
          <cell r="B618">
            <v>45883</v>
          </cell>
        </row>
        <row r="619">
          <cell r="B619">
            <v>45884</v>
          </cell>
        </row>
        <row r="620">
          <cell r="B620">
            <v>45884</v>
          </cell>
        </row>
        <row r="621">
          <cell r="B621">
            <v>45884</v>
          </cell>
        </row>
        <row r="622">
          <cell r="B622">
            <v>45884</v>
          </cell>
        </row>
        <row r="623">
          <cell r="B623">
            <v>45884</v>
          </cell>
        </row>
        <row r="624">
          <cell r="B624">
            <v>45884</v>
          </cell>
        </row>
        <row r="625">
          <cell r="B625">
            <v>45886</v>
          </cell>
        </row>
        <row r="626">
          <cell r="B626">
            <v>45887</v>
          </cell>
        </row>
        <row r="627">
          <cell r="B627">
            <v>45887</v>
          </cell>
        </row>
        <row r="628">
          <cell r="B628">
            <v>45887</v>
          </cell>
        </row>
        <row r="629">
          <cell r="B629">
            <v>45888</v>
          </cell>
        </row>
        <row r="630">
          <cell r="B630">
            <v>45888</v>
          </cell>
        </row>
        <row r="631">
          <cell r="B631">
            <v>45888</v>
          </cell>
        </row>
        <row r="632">
          <cell r="B632">
            <v>45888</v>
          </cell>
        </row>
        <row r="633">
          <cell r="B633">
            <v>45889</v>
          </cell>
        </row>
        <row r="634">
          <cell r="B634">
            <v>45890</v>
          </cell>
        </row>
        <row r="635">
          <cell r="B635">
            <v>45890</v>
          </cell>
        </row>
        <row r="636">
          <cell r="B636">
            <v>45890</v>
          </cell>
        </row>
        <row r="637">
          <cell r="B637">
            <v>45890</v>
          </cell>
        </row>
        <row r="638">
          <cell r="B638">
            <v>45890</v>
          </cell>
        </row>
        <row r="639">
          <cell r="B639">
            <v>45890</v>
          </cell>
        </row>
        <row r="640">
          <cell r="B640">
            <v>45891</v>
          </cell>
        </row>
        <row r="641">
          <cell r="B641">
            <v>45891</v>
          </cell>
        </row>
        <row r="642">
          <cell r="B642">
            <v>45892</v>
          </cell>
        </row>
        <row r="643">
          <cell r="B643">
            <v>45892</v>
          </cell>
        </row>
        <row r="644">
          <cell r="B644">
            <v>45892</v>
          </cell>
        </row>
        <row r="645">
          <cell r="B645">
            <v>45893</v>
          </cell>
        </row>
        <row r="646">
          <cell r="B646">
            <v>45893</v>
          </cell>
        </row>
        <row r="647">
          <cell r="B647">
            <v>45893</v>
          </cell>
        </row>
        <row r="648">
          <cell r="B648">
            <v>45894</v>
          </cell>
        </row>
        <row r="649">
          <cell r="B649">
            <v>45894</v>
          </cell>
        </row>
        <row r="650">
          <cell r="B650">
            <v>45894</v>
          </cell>
        </row>
        <row r="651">
          <cell r="B651">
            <v>45895</v>
          </cell>
        </row>
        <row r="652">
          <cell r="B652">
            <v>45895</v>
          </cell>
        </row>
        <row r="653">
          <cell r="B653">
            <v>45895</v>
          </cell>
        </row>
        <row r="654">
          <cell r="B654">
            <v>45896</v>
          </cell>
        </row>
        <row r="655">
          <cell r="B655">
            <v>45896</v>
          </cell>
        </row>
        <row r="656">
          <cell r="B656">
            <v>45896</v>
          </cell>
        </row>
        <row r="657">
          <cell r="B657">
            <v>45896</v>
          </cell>
        </row>
        <row r="658">
          <cell r="B658">
            <v>45897</v>
          </cell>
        </row>
        <row r="659">
          <cell r="B659">
            <v>45897</v>
          </cell>
        </row>
        <row r="660">
          <cell r="B660">
            <v>45897</v>
          </cell>
        </row>
        <row r="661">
          <cell r="B661">
            <v>45898</v>
          </cell>
        </row>
        <row r="662">
          <cell r="B662">
            <v>45898</v>
          </cell>
        </row>
        <row r="663">
          <cell r="B663">
            <v>45898</v>
          </cell>
        </row>
        <row r="664">
          <cell r="B664">
            <v>45898</v>
          </cell>
        </row>
        <row r="665">
          <cell r="B665">
            <v>45900</v>
          </cell>
        </row>
        <row r="666">
          <cell r="B666">
            <v>45900</v>
          </cell>
        </row>
        <row r="667">
          <cell r="B667">
            <v>45900</v>
          </cell>
        </row>
        <row r="668">
          <cell r="B668">
            <v>45900</v>
          </cell>
        </row>
        <row r="669">
          <cell r="B669">
            <v>45900</v>
          </cell>
        </row>
        <row r="670">
          <cell r="B670">
            <v>45901</v>
          </cell>
        </row>
        <row r="671">
          <cell r="B671">
            <v>45901</v>
          </cell>
        </row>
        <row r="672">
          <cell r="B672">
            <v>45901</v>
          </cell>
        </row>
        <row r="673">
          <cell r="B673">
            <v>45901</v>
          </cell>
        </row>
        <row r="674">
          <cell r="B674">
            <v>45902</v>
          </cell>
        </row>
        <row r="675">
          <cell r="B675">
            <v>45902</v>
          </cell>
        </row>
        <row r="676">
          <cell r="B676">
            <v>45902</v>
          </cell>
        </row>
        <row r="677">
          <cell r="B677">
            <v>45903</v>
          </cell>
        </row>
        <row r="678">
          <cell r="B678">
            <v>45904</v>
          </cell>
        </row>
        <row r="679">
          <cell r="B679">
            <v>45905</v>
          </cell>
        </row>
        <row r="680">
          <cell r="B680">
            <v>45905</v>
          </cell>
        </row>
        <row r="681">
          <cell r="B681">
            <v>45906</v>
          </cell>
        </row>
        <row r="682">
          <cell r="B682">
            <v>45906</v>
          </cell>
        </row>
        <row r="683">
          <cell r="B683">
            <v>45906</v>
          </cell>
        </row>
        <row r="684">
          <cell r="B684">
            <v>45906</v>
          </cell>
        </row>
        <row r="685">
          <cell r="B685">
            <v>45906</v>
          </cell>
        </row>
        <row r="686">
          <cell r="B686">
            <v>45907</v>
          </cell>
        </row>
        <row r="687">
          <cell r="B687">
            <v>45907</v>
          </cell>
        </row>
        <row r="688">
          <cell r="B688">
            <v>45907</v>
          </cell>
        </row>
        <row r="689">
          <cell r="B689">
            <v>45908</v>
          </cell>
        </row>
        <row r="690">
          <cell r="B690">
            <v>45908</v>
          </cell>
        </row>
        <row r="691">
          <cell r="B691">
            <v>45908</v>
          </cell>
        </row>
        <row r="692">
          <cell r="B692">
            <v>45908</v>
          </cell>
        </row>
        <row r="693">
          <cell r="B693">
            <v>45909</v>
          </cell>
        </row>
        <row r="694">
          <cell r="B694">
            <v>45909</v>
          </cell>
        </row>
        <row r="695">
          <cell r="B695">
            <v>45909</v>
          </cell>
        </row>
        <row r="696">
          <cell r="B696">
            <v>45910</v>
          </cell>
        </row>
        <row r="697">
          <cell r="B697">
            <v>45911</v>
          </cell>
        </row>
        <row r="698">
          <cell r="B698">
            <v>45911</v>
          </cell>
        </row>
        <row r="699">
          <cell r="B699">
            <v>45913</v>
          </cell>
        </row>
        <row r="700">
          <cell r="B700">
            <v>45914</v>
          </cell>
        </row>
        <row r="701">
          <cell r="B701">
            <v>45915</v>
          </cell>
        </row>
        <row r="702">
          <cell r="B702">
            <v>45916</v>
          </cell>
        </row>
        <row r="703">
          <cell r="B703">
            <v>45916</v>
          </cell>
        </row>
        <row r="704">
          <cell r="B704">
            <v>45916</v>
          </cell>
        </row>
        <row r="705">
          <cell r="B705">
            <v>45917</v>
          </cell>
        </row>
        <row r="706">
          <cell r="B706">
            <v>45917</v>
          </cell>
        </row>
        <row r="707">
          <cell r="B707">
            <v>45917</v>
          </cell>
        </row>
        <row r="708">
          <cell r="B708">
            <v>45917</v>
          </cell>
        </row>
        <row r="709">
          <cell r="B709">
            <v>45917</v>
          </cell>
        </row>
        <row r="710">
          <cell r="B710">
            <v>45918</v>
          </cell>
        </row>
        <row r="711">
          <cell r="B711">
            <v>45918</v>
          </cell>
        </row>
        <row r="712">
          <cell r="B712">
            <v>45918</v>
          </cell>
        </row>
        <row r="713">
          <cell r="B713">
            <v>45919</v>
          </cell>
        </row>
        <row r="714">
          <cell r="B714">
            <v>45919</v>
          </cell>
        </row>
        <row r="715">
          <cell r="B715">
            <v>45921</v>
          </cell>
        </row>
        <row r="716">
          <cell r="B716">
            <v>45921</v>
          </cell>
        </row>
        <row r="717">
          <cell r="B717">
            <v>45922</v>
          </cell>
        </row>
        <row r="718">
          <cell r="B718">
            <v>45922</v>
          </cell>
        </row>
        <row r="719">
          <cell r="B719">
            <v>45923</v>
          </cell>
        </row>
        <row r="720">
          <cell r="B720">
            <v>45924</v>
          </cell>
        </row>
        <row r="721">
          <cell r="B721">
            <v>45924</v>
          </cell>
        </row>
        <row r="722">
          <cell r="B722">
            <v>45925</v>
          </cell>
        </row>
        <row r="723">
          <cell r="B723">
            <v>45925</v>
          </cell>
        </row>
        <row r="724">
          <cell r="B724">
            <v>45925</v>
          </cell>
        </row>
        <row r="725">
          <cell r="B725">
            <v>45926</v>
          </cell>
        </row>
        <row r="726">
          <cell r="B726">
            <v>45928</v>
          </cell>
        </row>
        <row r="727">
          <cell r="B727">
            <v>45928</v>
          </cell>
        </row>
        <row r="728">
          <cell r="B728">
            <v>45928</v>
          </cell>
        </row>
        <row r="729">
          <cell r="B729">
            <v>45929</v>
          </cell>
        </row>
        <row r="730">
          <cell r="B730">
            <v>45929</v>
          </cell>
        </row>
        <row r="731">
          <cell r="B731">
            <v>45929</v>
          </cell>
        </row>
        <row r="732">
          <cell r="B732">
            <v>45929</v>
          </cell>
        </row>
        <row r="733">
          <cell r="B733">
            <v>45930</v>
          </cell>
        </row>
        <row r="734">
          <cell r="B734">
            <v>45930</v>
          </cell>
        </row>
        <row r="735">
          <cell r="B735">
            <v>45931</v>
          </cell>
        </row>
        <row r="736">
          <cell r="B736">
            <v>45931</v>
          </cell>
        </row>
        <row r="737">
          <cell r="B737">
            <v>45931</v>
          </cell>
        </row>
        <row r="738">
          <cell r="B738">
            <v>45932</v>
          </cell>
        </row>
        <row r="739">
          <cell r="B739">
            <v>45932</v>
          </cell>
        </row>
        <row r="740">
          <cell r="B740">
            <v>45932</v>
          </cell>
        </row>
        <row r="741">
          <cell r="B741">
            <v>45932</v>
          </cell>
        </row>
        <row r="742">
          <cell r="B742">
            <v>45932</v>
          </cell>
        </row>
        <row r="743">
          <cell r="B743">
            <v>45933</v>
          </cell>
        </row>
        <row r="744">
          <cell r="B744">
            <v>45933</v>
          </cell>
        </row>
        <row r="745">
          <cell r="B745">
            <v>45933</v>
          </cell>
        </row>
        <row r="746">
          <cell r="B746">
            <v>45933</v>
          </cell>
        </row>
        <row r="747">
          <cell r="B747">
            <v>45933</v>
          </cell>
        </row>
        <row r="748">
          <cell r="B748">
            <v>45934</v>
          </cell>
        </row>
        <row r="749">
          <cell r="B749">
            <v>45934</v>
          </cell>
        </row>
        <row r="750">
          <cell r="B750">
            <v>45934</v>
          </cell>
        </row>
        <row r="751">
          <cell r="B751">
            <v>45934</v>
          </cell>
        </row>
        <row r="752">
          <cell r="B752">
            <v>45934</v>
          </cell>
        </row>
        <row r="753">
          <cell r="B753">
            <v>45934</v>
          </cell>
        </row>
        <row r="754">
          <cell r="B754">
            <v>45935</v>
          </cell>
        </row>
        <row r="755">
          <cell r="B755">
            <v>45935</v>
          </cell>
        </row>
        <row r="756">
          <cell r="B756">
            <v>45936</v>
          </cell>
        </row>
        <row r="757">
          <cell r="B757">
            <v>45937</v>
          </cell>
        </row>
        <row r="758">
          <cell r="B758">
            <v>45937</v>
          </cell>
        </row>
        <row r="759">
          <cell r="B759">
            <v>45937</v>
          </cell>
        </row>
        <row r="760">
          <cell r="B760">
            <v>45937</v>
          </cell>
        </row>
        <row r="761">
          <cell r="B761">
            <v>45938</v>
          </cell>
        </row>
        <row r="762">
          <cell r="B762">
            <v>45938</v>
          </cell>
        </row>
        <row r="763">
          <cell r="B763">
            <v>45939</v>
          </cell>
        </row>
        <row r="764">
          <cell r="B764">
            <v>45939</v>
          </cell>
        </row>
        <row r="765">
          <cell r="B765">
            <v>45939</v>
          </cell>
        </row>
        <row r="766">
          <cell r="B766">
            <v>45940</v>
          </cell>
        </row>
        <row r="767">
          <cell r="B767">
            <v>45940</v>
          </cell>
        </row>
        <row r="768">
          <cell r="B768">
            <v>45940</v>
          </cell>
        </row>
        <row r="769">
          <cell r="B769">
            <v>45940</v>
          </cell>
        </row>
        <row r="770">
          <cell r="B770">
            <v>45941</v>
          </cell>
        </row>
        <row r="771">
          <cell r="B771">
            <v>45941</v>
          </cell>
        </row>
        <row r="772">
          <cell r="B772">
            <v>45941</v>
          </cell>
        </row>
        <row r="773">
          <cell r="B773">
            <v>45941</v>
          </cell>
        </row>
        <row r="774">
          <cell r="B774">
            <v>45941</v>
          </cell>
        </row>
        <row r="775">
          <cell r="B775">
            <v>45941</v>
          </cell>
        </row>
        <row r="776">
          <cell r="B776">
            <v>45941</v>
          </cell>
        </row>
        <row r="777">
          <cell r="B777">
            <v>45942</v>
          </cell>
        </row>
        <row r="778">
          <cell r="B778">
            <v>45942</v>
          </cell>
        </row>
        <row r="779">
          <cell r="B779">
            <v>45942</v>
          </cell>
        </row>
        <row r="780">
          <cell r="B780">
            <v>45943</v>
          </cell>
        </row>
        <row r="781">
          <cell r="B781">
            <v>45943</v>
          </cell>
        </row>
        <row r="782">
          <cell r="B782">
            <v>45943</v>
          </cell>
        </row>
        <row r="783">
          <cell r="B783">
            <v>45944</v>
          </cell>
        </row>
        <row r="784">
          <cell r="B784">
            <v>45944</v>
          </cell>
        </row>
        <row r="785">
          <cell r="B785">
            <v>45945</v>
          </cell>
        </row>
        <row r="786">
          <cell r="B786">
            <v>45945</v>
          </cell>
        </row>
        <row r="787">
          <cell r="B787">
            <v>45945</v>
          </cell>
        </row>
        <row r="788">
          <cell r="B788">
            <v>45946</v>
          </cell>
        </row>
        <row r="789">
          <cell r="B789">
            <v>45946</v>
          </cell>
        </row>
        <row r="790">
          <cell r="B790">
            <v>45946</v>
          </cell>
        </row>
        <row r="791">
          <cell r="B791">
            <v>45946</v>
          </cell>
        </row>
        <row r="792">
          <cell r="B792">
            <v>45947</v>
          </cell>
        </row>
        <row r="793">
          <cell r="B793">
            <v>45947</v>
          </cell>
        </row>
        <row r="794">
          <cell r="B794">
            <v>45948</v>
          </cell>
        </row>
        <row r="795">
          <cell r="B795">
            <v>45948</v>
          </cell>
        </row>
        <row r="796">
          <cell r="B796">
            <v>45949</v>
          </cell>
        </row>
        <row r="797">
          <cell r="B797">
            <v>45949</v>
          </cell>
        </row>
        <row r="798">
          <cell r="B798">
            <v>45949</v>
          </cell>
        </row>
        <row r="799">
          <cell r="B799">
            <v>45949</v>
          </cell>
        </row>
        <row r="800">
          <cell r="B800">
            <v>45950</v>
          </cell>
        </row>
        <row r="801">
          <cell r="B801">
            <v>45951</v>
          </cell>
        </row>
        <row r="802">
          <cell r="B802">
            <v>45952</v>
          </cell>
        </row>
        <row r="803">
          <cell r="B803">
            <v>45952</v>
          </cell>
        </row>
        <row r="804">
          <cell r="B804">
            <v>45952</v>
          </cell>
        </row>
        <row r="805">
          <cell r="B805">
            <v>45953</v>
          </cell>
        </row>
        <row r="806">
          <cell r="B806">
            <v>45953</v>
          </cell>
        </row>
        <row r="807">
          <cell r="B807">
            <v>45953</v>
          </cell>
        </row>
        <row r="808">
          <cell r="B808">
            <v>45953</v>
          </cell>
        </row>
        <row r="809">
          <cell r="B809">
            <v>45954</v>
          </cell>
        </row>
        <row r="810">
          <cell r="B810">
            <v>45954</v>
          </cell>
        </row>
        <row r="811">
          <cell r="B811">
            <v>45954</v>
          </cell>
        </row>
        <row r="812">
          <cell r="B812">
            <v>45954</v>
          </cell>
        </row>
        <row r="813">
          <cell r="B813">
            <v>45955</v>
          </cell>
        </row>
        <row r="814">
          <cell r="B814">
            <v>45955</v>
          </cell>
        </row>
        <row r="815">
          <cell r="B815">
            <v>45956</v>
          </cell>
        </row>
        <row r="816">
          <cell r="B816">
            <v>45956</v>
          </cell>
        </row>
        <row r="817">
          <cell r="B817">
            <v>45956</v>
          </cell>
        </row>
        <row r="818">
          <cell r="B818">
            <v>45957</v>
          </cell>
        </row>
        <row r="819">
          <cell r="B819">
            <v>45957</v>
          </cell>
        </row>
        <row r="820">
          <cell r="B820">
            <v>45957</v>
          </cell>
        </row>
        <row r="821">
          <cell r="B821">
            <v>45959</v>
          </cell>
        </row>
        <row r="822">
          <cell r="B822">
            <v>45959</v>
          </cell>
        </row>
        <row r="823">
          <cell r="B823">
            <v>45959</v>
          </cell>
        </row>
        <row r="824">
          <cell r="B824">
            <v>45959</v>
          </cell>
        </row>
        <row r="825">
          <cell r="B825">
            <v>45959</v>
          </cell>
        </row>
        <row r="826">
          <cell r="B826">
            <v>45959</v>
          </cell>
        </row>
        <row r="827">
          <cell r="B827">
            <v>45960</v>
          </cell>
        </row>
        <row r="828">
          <cell r="B828">
            <v>45961</v>
          </cell>
        </row>
        <row r="829">
          <cell r="B829">
            <v>45961</v>
          </cell>
        </row>
        <row r="830">
          <cell r="B830">
            <v>45961</v>
          </cell>
        </row>
        <row r="831">
          <cell r="B831">
            <v>45962</v>
          </cell>
        </row>
        <row r="832">
          <cell r="B832">
            <v>45962</v>
          </cell>
        </row>
        <row r="833">
          <cell r="B833">
            <v>45962</v>
          </cell>
        </row>
        <row r="834">
          <cell r="B834">
            <v>45962</v>
          </cell>
        </row>
        <row r="835">
          <cell r="B835">
            <v>45963</v>
          </cell>
        </row>
        <row r="836">
          <cell r="B836">
            <v>45963</v>
          </cell>
        </row>
        <row r="837">
          <cell r="B837">
            <v>45963</v>
          </cell>
        </row>
        <row r="838">
          <cell r="B838">
            <v>45963</v>
          </cell>
        </row>
        <row r="839">
          <cell r="B839">
            <v>45963</v>
          </cell>
        </row>
        <row r="840">
          <cell r="B840">
            <v>45963</v>
          </cell>
        </row>
        <row r="841">
          <cell r="B841">
            <v>45964</v>
          </cell>
        </row>
        <row r="842">
          <cell r="B842">
            <v>45965</v>
          </cell>
        </row>
        <row r="843">
          <cell r="B843">
            <v>45966</v>
          </cell>
        </row>
        <row r="844">
          <cell r="B844">
            <v>45966</v>
          </cell>
        </row>
        <row r="845">
          <cell r="B845">
            <v>45967</v>
          </cell>
        </row>
        <row r="846">
          <cell r="B846">
            <v>45967</v>
          </cell>
        </row>
        <row r="847">
          <cell r="B847">
            <v>45968</v>
          </cell>
        </row>
        <row r="848">
          <cell r="B848">
            <v>45968</v>
          </cell>
        </row>
        <row r="849">
          <cell r="B849">
            <v>45968</v>
          </cell>
        </row>
        <row r="850">
          <cell r="B850">
            <v>45968</v>
          </cell>
        </row>
        <row r="851">
          <cell r="B851">
            <v>45968</v>
          </cell>
        </row>
        <row r="852">
          <cell r="B852">
            <v>45968</v>
          </cell>
        </row>
        <row r="853">
          <cell r="B853">
            <v>45969</v>
          </cell>
        </row>
        <row r="854">
          <cell r="B854">
            <v>45969</v>
          </cell>
        </row>
        <row r="855">
          <cell r="B855">
            <v>45970</v>
          </cell>
        </row>
        <row r="856">
          <cell r="B856">
            <v>45970</v>
          </cell>
        </row>
        <row r="857">
          <cell r="B857">
            <v>45970</v>
          </cell>
        </row>
        <row r="858">
          <cell r="B858">
            <v>45971</v>
          </cell>
        </row>
        <row r="859">
          <cell r="B859">
            <v>45971</v>
          </cell>
        </row>
        <row r="860">
          <cell r="B860">
            <v>45973</v>
          </cell>
        </row>
        <row r="861">
          <cell r="B861">
            <v>45973</v>
          </cell>
        </row>
        <row r="862">
          <cell r="B862">
            <v>45974</v>
          </cell>
        </row>
        <row r="863">
          <cell r="B863">
            <v>45974</v>
          </cell>
        </row>
        <row r="864">
          <cell r="B864">
            <v>45975</v>
          </cell>
        </row>
        <row r="865">
          <cell r="B865">
            <v>45975</v>
          </cell>
        </row>
        <row r="866">
          <cell r="B866">
            <v>45975</v>
          </cell>
        </row>
        <row r="867">
          <cell r="B867">
            <v>45975</v>
          </cell>
        </row>
        <row r="868">
          <cell r="B868">
            <v>45976</v>
          </cell>
        </row>
        <row r="869">
          <cell r="B869">
            <v>45976</v>
          </cell>
        </row>
        <row r="870">
          <cell r="B870">
            <v>45976</v>
          </cell>
        </row>
        <row r="871">
          <cell r="B871">
            <v>45977</v>
          </cell>
        </row>
        <row r="872">
          <cell r="B872">
            <v>45978</v>
          </cell>
        </row>
        <row r="873">
          <cell r="B873">
            <v>45978</v>
          </cell>
        </row>
        <row r="874">
          <cell r="B874">
            <v>45978</v>
          </cell>
        </row>
        <row r="875">
          <cell r="B875">
            <v>45978</v>
          </cell>
        </row>
        <row r="876">
          <cell r="B876">
            <v>45979</v>
          </cell>
        </row>
        <row r="877">
          <cell r="B877">
            <v>45979</v>
          </cell>
        </row>
        <row r="878">
          <cell r="B878">
            <v>45979</v>
          </cell>
        </row>
        <row r="879">
          <cell r="B879">
            <v>45980</v>
          </cell>
        </row>
        <row r="880">
          <cell r="B880">
            <v>45980</v>
          </cell>
        </row>
        <row r="881">
          <cell r="B881">
            <v>45981</v>
          </cell>
        </row>
        <row r="882">
          <cell r="B882">
            <v>45982</v>
          </cell>
        </row>
        <row r="883">
          <cell r="B883">
            <v>45982</v>
          </cell>
        </row>
        <row r="884">
          <cell r="B884">
            <v>45982</v>
          </cell>
        </row>
        <row r="885">
          <cell r="B885">
            <v>45983</v>
          </cell>
        </row>
        <row r="886">
          <cell r="B886">
            <v>45983</v>
          </cell>
        </row>
        <row r="887">
          <cell r="B887">
            <v>45983</v>
          </cell>
        </row>
        <row r="888">
          <cell r="B888">
            <v>45984</v>
          </cell>
        </row>
        <row r="889">
          <cell r="B889">
            <v>45984</v>
          </cell>
        </row>
        <row r="890">
          <cell r="B890">
            <v>45984</v>
          </cell>
        </row>
        <row r="891">
          <cell r="B891">
            <v>45985</v>
          </cell>
        </row>
        <row r="892">
          <cell r="B892">
            <v>45985</v>
          </cell>
        </row>
        <row r="893">
          <cell r="B893">
            <v>45985</v>
          </cell>
        </row>
        <row r="894">
          <cell r="B894">
            <v>45986</v>
          </cell>
        </row>
        <row r="895">
          <cell r="B895">
            <v>45986</v>
          </cell>
        </row>
        <row r="896">
          <cell r="B896">
            <v>45987</v>
          </cell>
        </row>
        <row r="897">
          <cell r="B897">
            <v>45987</v>
          </cell>
        </row>
        <row r="898">
          <cell r="B898">
            <v>45988</v>
          </cell>
        </row>
        <row r="899">
          <cell r="B899">
            <v>45988</v>
          </cell>
        </row>
        <row r="900">
          <cell r="B900">
            <v>45988</v>
          </cell>
        </row>
        <row r="901">
          <cell r="B901">
            <v>45989</v>
          </cell>
        </row>
        <row r="902">
          <cell r="B902">
            <v>45989</v>
          </cell>
        </row>
        <row r="903">
          <cell r="B903">
            <v>45990</v>
          </cell>
        </row>
        <row r="904">
          <cell r="B904">
            <v>45990</v>
          </cell>
        </row>
        <row r="905">
          <cell r="B905">
            <v>45990</v>
          </cell>
        </row>
        <row r="906">
          <cell r="B906">
            <v>45991</v>
          </cell>
        </row>
        <row r="907">
          <cell r="B907">
            <v>45991</v>
          </cell>
        </row>
        <row r="908">
          <cell r="B908">
            <v>45991</v>
          </cell>
        </row>
        <row r="909">
          <cell r="B909">
            <v>45992</v>
          </cell>
        </row>
        <row r="910">
          <cell r="B910">
            <v>45992</v>
          </cell>
        </row>
        <row r="911">
          <cell r="B911">
            <v>45993</v>
          </cell>
        </row>
        <row r="912">
          <cell r="B912">
            <v>45993</v>
          </cell>
        </row>
        <row r="913">
          <cell r="B913">
            <v>45993</v>
          </cell>
        </row>
        <row r="914">
          <cell r="B914">
            <v>45994</v>
          </cell>
        </row>
        <row r="915">
          <cell r="B915">
            <v>45995</v>
          </cell>
        </row>
        <row r="916">
          <cell r="B916">
            <v>45995</v>
          </cell>
        </row>
        <row r="917">
          <cell r="B917">
            <v>45995</v>
          </cell>
        </row>
        <row r="918">
          <cell r="B918">
            <v>45995</v>
          </cell>
        </row>
        <row r="919">
          <cell r="B919">
            <v>45996</v>
          </cell>
        </row>
        <row r="920">
          <cell r="B920">
            <v>45996</v>
          </cell>
        </row>
        <row r="921">
          <cell r="B921">
            <v>45996</v>
          </cell>
        </row>
        <row r="922">
          <cell r="B922">
            <v>45996</v>
          </cell>
        </row>
        <row r="923">
          <cell r="B923">
            <v>45996</v>
          </cell>
        </row>
        <row r="924">
          <cell r="B924">
            <v>45997</v>
          </cell>
        </row>
        <row r="925">
          <cell r="B925">
            <v>45997</v>
          </cell>
        </row>
        <row r="926">
          <cell r="B926">
            <v>45997</v>
          </cell>
        </row>
        <row r="927">
          <cell r="B927">
            <v>45997</v>
          </cell>
        </row>
        <row r="928">
          <cell r="B928">
            <v>45997</v>
          </cell>
        </row>
        <row r="929">
          <cell r="B929">
            <v>45998</v>
          </cell>
        </row>
        <row r="930">
          <cell r="B930">
            <v>45998</v>
          </cell>
        </row>
        <row r="931">
          <cell r="B931">
            <v>45999</v>
          </cell>
        </row>
        <row r="932">
          <cell r="B932">
            <v>45999</v>
          </cell>
        </row>
        <row r="933">
          <cell r="B933">
            <v>45999</v>
          </cell>
        </row>
        <row r="934">
          <cell r="B934">
            <v>45999</v>
          </cell>
        </row>
        <row r="935">
          <cell r="B935">
            <v>46000</v>
          </cell>
        </row>
        <row r="936">
          <cell r="B936">
            <v>46000</v>
          </cell>
        </row>
        <row r="937">
          <cell r="B937">
            <v>46000</v>
          </cell>
        </row>
        <row r="938">
          <cell r="B938">
            <v>46000</v>
          </cell>
        </row>
        <row r="939">
          <cell r="B939">
            <v>46000</v>
          </cell>
        </row>
        <row r="940">
          <cell r="B940">
            <v>46000</v>
          </cell>
        </row>
        <row r="941">
          <cell r="B941">
            <v>46001</v>
          </cell>
        </row>
        <row r="942">
          <cell r="B942">
            <v>46001</v>
          </cell>
        </row>
        <row r="943">
          <cell r="B943">
            <v>46001</v>
          </cell>
        </row>
        <row r="944">
          <cell r="B944">
            <v>46001</v>
          </cell>
        </row>
        <row r="945">
          <cell r="B945">
            <v>46002</v>
          </cell>
        </row>
        <row r="946">
          <cell r="B946">
            <v>46002</v>
          </cell>
        </row>
        <row r="947">
          <cell r="B947">
            <v>46003</v>
          </cell>
        </row>
        <row r="948">
          <cell r="B948">
            <v>46003</v>
          </cell>
        </row>
        <row r="949">
          <cell r="B949">
            <v>46004</v>
          </cell>
        </row>
        <row r="950">
          <cell r="B950">
            <v>46004</v>
          </cell>
        </row>
        <row r="951">
          <cell r="B951">
            <v>46004</v>
          </cell>
        </row>
        <row r="952">
          <cell r="B952">
            <v>46005</v>
          </cell>
        </row>
        <row r="953">
          <cell r="B953">
            <v>46005</v>
          </cell>
        </row>
        <row r="954">
          <cell r="B954">
            <v>46006</v>
          </cell>
        </row>
        <row r="955">
          <cell r="B955">
            <v>46006</v>
          </cell>
        </row>
        <row r="956">
          <cell r="B956">
            <v>46007</v>
          </cell>
        </row>
        <row r="957">
          <cell r="B957">
            <v>46007</v>
          </cell>
        </row>
        <row r="958">
          <cell r="B958">
            <v>46007</v>
          </cell>
        </row>
        <row r="959">
          <cell r="B959">
            <v>46008</v>
          </cell>
        </row>
        <row r="960">
          <cell r="B960">
            <v>46008</v>
          </cell>
        </row>
        <row r="961">
          <cell r="B961">
            <v>46009</v>
          </cell>
        </row>
        <row r="962">
          <cell r="B962">
            <v>46009</v>
          </cell>
        </row>
        <row r="963">
          <cell r="B963">
            <v>46009</v>
          </cell>
        </row>
        <row r="964">
          <cell r="B964">
            <v>46009</v>
          </cell>
        </row>
        <row r="965">
          <cell r="B965">
            <v>46010</v>
          </cell>
        </row>
        <row r="966">
          <cell r="B966">
            <v>46010</v>
          </cell>
        </row>
        <row r="967">
          <cell r="B967">
            <v>46010</v>
          </cell>
        </row>
        <row r="968">
          <cell r="B968">
            <v>46011</v>
          </cell>
        </row>
        <row r="969">
          <cell r="B969">
            <v>46011</v>
          </cell>
        </row>
        <row r="970">
          <cell r="B970">
            <v>46011</v>
          </cell>
        </row>
        <row r="971">
          <cell r="B971">
            <v>46011</v>
          </cell>
        </row>
        <row r="972">
          <cell r="B972">
            <v>46011</v>
          </cell>
        </row>
        <row r="973">
          <cell r="B973">
            <v>46012</v>
          </cell>
        </row>
        <row r="974">
          <cell r="B974">
            <v>46013</v>
          </cell>
        </row>
        <row r="975">
          <cell r="B975">
            <v>46014</v>
          </cell>
        </row>
        <row r="976">
          <cell r="B976">
            <v>46014</v>
          </cell>
        </row>
        <row r="977">
          <cell r="B977">
            <v>46014</v>
          </cell>
        </row>
        <row r="978">
          <cell r="B978">
            <v>46014</v>
          </cell>
        </row>
        <row r="979">
          <cell r="B979">
            <v>46014</v>
          </cell>
        </row>
        <row r="980">
          <cell r="B980">
            <v>46014</v>
          </cell>
        </row>
        <row r="981">
          <cell r="B981">
            <v>46015</v>
          </cell>
        </row>
        <row r="982">
          <cell r="B982">
            <v>46015</v>
          </cell>
        </row>
        <row r="983">
          <cell r="B983">
            <v>46016</v>
          </cell>
        </row>
        <row r="984">
          <cell r="B984">
            <v>46017</v>
          </cell>
        </row>
        <row r="985">
          <cell r="B985">
            <v>46017</v>
          </cell>
        </row>
        <row r="986">
          <cell r="B986">
            <v>46017</v>
          </cell>
        </row>
        <row r="987">
          <cell r="B987">
            <v>46017</v>
          </cell>
        </row>
        <row r="988">
          <cell r="B988">
            <v>46017</v>
          </cell>
        </row>
        <row r="989">
          <cell r="B989">
            <v>46017</v>
          </cell>
        </row>
        <row r="990">
          <cell r="B990">
            <v>46018</v>
          </cell>
        </row>
        <row r="991">
          <cell r="B991">
            <v>46018</v>
          </cell>
        </row>
        <row r="992">
          <cell r="B992">
            <v>46019</v>
          </cell>
        </row>
        <row r="993">
          <cell r="B993">
            <v>46019</v>
          </cell>
        </row>
        <row r="994">
          <cell r="B994">
            <v>46019</v>
          </cell>
        </row>
        <row r="995">
          <cell r="B995">
            <v>46020</v>
          </cell>
        </row>
        <row r="996">
          <cell r="B996">
            <v>46020</v>
          </cell>
        </row>
        <row r="997">
          <cell r="B997">
            <v>46020</v>
          </cell>
        </row>
        <row r="998">
          <cell r="B998">
            <v>46020</v>
          </cell>
        </row>
        <row r="999">
          <cell r="B999">
            <v>46022</v>
          </cell>
        </row>
        <row r="1000">
          <cell r="B1000">
            <v>46022</v>
          </cell>
        </row>
        <row r="1001">
          <cell r="B1001">
            <v>46022</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233.597697453704" createdVersion="5" refreshedVersion="5" minRefreshableVersion="3" recordCount="1000">
  <cacheSource type="worksheet">
    <worksheetSource name="retail_sales_table"/>
  </cacheSource>
  <cacheFields count="13">
    <cacheField name="transaction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164">
      <sharedItems containsSemiMixedTypes="0" containsNonDate="0" containsDate="1" containsString="0" minDate="2025-01-01T00:00:00" maxDate="2026-01-01T00:00:00" count="344">
        <d v="2025-01-01T00:00:00"/>
        <d v="2025-01-02T00:00:00"/>
        <d v="2025-01-03T00:00:00"/>
        <d v="2025-01-04T00:00:00"/>
        <d v="2025-01-05T00:00:00"/>
        <d v="2025-01-06T00:00:00"/>
        <d v="2025-01-07T00:00:00"/>
        <d v="2025-01-08T00:00:00"/>
        <d v="2025-01-09T00:00:00"/>
        <d v="2025-01-10T00:00:00"/>
        <d v="2025-01-11T00:00:00"/>
        <d v="2025-01-13T00:00:00"/>
        <d v="2025-01-14T00:00:00"/>
        <d v="2025-01-15T00:00:00"/>
        <d v="2025-01-16T00:00:00"/>
        <d v="2025-01-17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5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4T00:00:00"/>
        <d v="2025-04-05T00:00:00"/>
        <d v="2025-04-06T00:00:00"/>
        <d v="2025-04-08T00:00:00"/>
        <d v="2025-04-09T00:00:00"/>
        <d v="2025-04-10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3T00:00:00"/>
        <d v="2025-07-04T00:00:00"/>
        <d v="2025-07-05T00:00:00"/>
        <d v="2025-07-06T00:00:00"/>
        <d v="2025-07-08T00:00:00"/>
        <d v="2025-07-09T00:00:00"/>
        <d v="2025-07-11T00:00:00"/>
        <d v="2025-07-12T00:00:00"/>
        <d v="2025-07-13T00:00:00"/>
        <d v="2025-07-14T00:00:00"/>
        <d v="2025-07-15T00:00:00"/>
        <d v="2025-07-16T00:00:00"/>
        <d v="2025-07-17T00:00:00"/>
        <d v="2025-07-19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7T00:00:00"/>
        <d v="2025-08-18T00:00:00"/>
        <d v="2025-08-19T00:00:00"/>
        <d v="2025-08-20T00:00:00"/>
        <d v="2025-08-21T00:00:00"/>
        <d v="2025-08-22T00:00:00"/>
        <d v="2025-08-23T00:00:00"/>
        <d v="2025-08-24T00:00:00"/>
        <d v="2025-08-25T00:00:00"/>
        <d v="2025-08-26T00:00:00"/>
        <d v="2025-08-27T00:00:00"/>
        <d v="2025-08-28T00:00:00"/>
        <d v="2025-08-29T00:00:00"/>
        <d v="2025-08-31T00:00:00"/>
        <d v="2025-09-01T00:00:00"/>
        <d v="2025-09-02T00:00:00"/>
        <d v="2025-09-03T00:00:00"/>
        <d v="2025-09-04T00:00:00"/>
        <d v="2025-09-05T00:00:00"/>
        <d v="2025-09-06T00:00:00"/>
        <d v="2025-09-07T00:00:00"/>
        <d v="2025-09-08T00:00:00"/>
        <d v="2025-09-09T00:00:00"/>
        <d v="2025-09-10T00:00:00"/>
        <d v="2025-09-11T00:00:00"/>
        <d v="2025-09-13T00:00:00"/>
        <d v="2025-09-14T00:00:00"/>
        <d v="2025-09-15T00:00:00"/>
        <d v="2025-09-16T00:00:00"/>
        <d v="2025-09-17T00:00:00"/>
        <d v="2025-09-18T00:00:00"/>
        <d v="2025-09-19T00:00:00"/>
        <d v="2025-09-21T00:00:00"/>
        <d v="2025-09-22T00:00:00"/>
        <d v="2025-09-23T00:00:00"/>
        <d v="2025-09-24T00:00:00"/>
        <d v="2025-09-25T00:00:00"/>
        <d v="2025-09-26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9T00:00:00"/>
        <d v="2025-10-30T00:00:00"/>
        <d v="2025-10-31T00:00:00"/>
        <d v="2025-11-01T00:00:00"/>
        <d v="2025-11-02T00:00:00"/>
        <d v="2025-11-03T00:00:00"/>
        <d v="2025-11-04T00:00:00"/>
        <d v="2025-11-05T00:00:00"/>
        <d v="2025-11-06T00:00:00"/>
        <d v="2025-11-07T00:00:00"/>
        <d v="2025-11-08T00:00:00"/>
        <d v="2025-11-09T00:00:00"/>
        <d v="2025-11-10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1T00:00:00"/>
      </sharedItems>
    </cacheField>
    <cacheField name="customer_id" numFmtId="0">
      <sharedItems count="704">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5"/>
        <s v="CUST203"/>
        <s v="CUST204"/>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1"/>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05"/>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23"/>
        <s v="CUST616"/>
        <s v="CUST617"/>
        <s v="CUST618"/>
        <s v="CUST619"/>
        <s v="CUST620"/>
        <s v="CUST621"/>
        <s v="CUST622"/>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250" u="1"/>
        <s v="CUST252" u="1"/>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_category" numFmtId="0">
      <sharedItems count="3">
        <s v="Beauty"/>
        <s v="Clothing"/>
        <s v="Electronics"/>
      </sharedItems>
    </cacheField>
    <cacheField name="quantity" numFmtId="0">
      <sharedItems containsSemiMixedTypes="0" containsString="0" containsNumber="1" containsInteger="1" minValue="1" maxValue="7" count="7">
        <n v="3"/>
        <n v="2"/>
        <n v="1"/>
        <n v="4"/>
        <n v="6"/>
        <n v="7"/>
        <n v="5"/>
      </sharedItems>
    </cacheField>
    <cacheField name="price_per_unit" numFmtId="165">
      <sharedItems containsSemiMixedTypes="0" containsString="0" containsNumber="1" containsInteger="1" minValue="25" maxValue="500"/>
    </cacheField>
    <cacheField name="total_amount" numFmtId="165">
      <sharedItems containsSemiMixedTypes="0" containsString="0" containsNumber="1" containsInteger="1" minValue="25" maxValue="3000"/>
    </cacheField>
    <cacheField name="month" numFmtId="0">
      <sharedItems count="12">
        <s v="January"/>
        <s v="February"/>
        <s v="March"/>
        <s v="April"/>
        <s v="May"/>
        <s v="June"/>
        <s v="July"/>
        <s v="August"/>
        <s v="September"/>
        <s v="October"/>
        <s v="November"/>
        <s v="December"/>
      </sharedItems>
    </cacheField>
    <cacheField name="month_number" numFmtId="0">
      <sharedItems containsSemiMixedTypes="0" containsString="0" containsNumber="1" containsInteger="1" minValue="1" maxValue="12"/>
    </cacheField>
    <cacheField name="year" numFmtId="0">
      <sharedItems containsSemiMixedTypes="0" containsString="0" containsNumber="1" containsInteger="1" minValue="2025" maxValue="2025"/>
    </cacheField>
    <cacheField name="age_group" numFmtId="0">
      <sharedItems count="4">
        <s v="26-35"/>
        <s v="46+"/>
        <s v="36-45"/>
        <s v="18-25"/>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x v="0"/>
    <x v="0"/>
    <n v="34"/>
    <x v="0"/>
    <x v="0"/>
    <n v="50"/>
    <n v="150"/>
    <x v="0"/>
    <n v="1"/>
    <n v="2025"/>
    <x v="0"/>
  </r>
  <r>
    <x v="1"/>
    <x v="0"/>
    <x v="1"/>
    <x v="1"/>
    <n v="26"/>
    <x v="1"/>
    <x v="1"/>
    <n v="500"/>
    <n v="1000"/>
    <x v="0"/>
    <n v="1"/>
    <n v="2025"/>
    <x v="0"/>
  </r>
  <r>
    <x v="2"/>
    <x v="0"/>
    <x v="2"/>
    <x v="0"/>
    <n v="50"/>
    <x v="2"/>
    <x v="2"/>
    <n v="30"/>
    <n v="30"/>
    <x v="0"/>
    <n v="1"/>
    <n v="2025"/>
    <x v="1"/>
  </r>
  <r>
    <x v="3"/>
    <x v="1"/>
    <x v="3"/>
    <x v="0"/>
    <n v="37"/>
    <x v="1"/>
    <x v="2"/>
    <n v="500"/>
    <n v="500"/>
    <x v="0"/>
    <n v="1"/>
    <n v="2025"/>
    <x v="2"/>
  </r>
  <r>
    <x v="4"/>
    <x v="1"/>
    <x v="4"/>
    <x v="0"/>
    <n v="30"/>
    <x v="0"/>
    <x v="1"/>
    <n v="50"/>
    <n v="100"/>
    <x v="0"/>
    <n v="1"/>
    <n v="2025"/>
    <x v="0"/>
  </r>
  <r>
    <x v="5"/>
    <x v="1"/>
    <x v="5"/>
    <x v="1"/>
    <n v="45"/>
    <x v="0"/>
    <x v="2"/>
    <n v="30"/>
    <n v="30"/>
    <x v="0"/>
    <n v="1"/>
    <n v="2025"/>
    <x v="2"/>
  </r>
  <r>
    <x v="6"/>
    <x v="1"/>
    <x v="6"/>
    <x v="0"/>
    <n v="46"/>
    <x v="1"/>
    <x v="1"/>
    <n v="25"/>
    <n v="50"/>
    <x v="0"/>
    <n v="1"/>
    <n v="2025"/>
    <x v="1"/>
  </r>
  <r>
    <x v="7"/>
    <x v="2"/>
    <x v="7"/>
    <x v="0"/>
    <n v="30"/>
    <x v="2"/>
    <x v="3"/>
    <n v="25"/>
    <n v="100"/>
    <x v="0"/>
    <n v="1"/>
    <n v="2025"/>
    <x v="0"/>
  </r>
  <r>
    <x v="8"/>
    <x v="3"/>
    <x v="8"/>
    <x v="0"/>
    <n v="63"/>
    <x v="2"/>
    <x v="1"/>
    <n v="300"/>
    <n v="600"/>
    <x v="0"/>
    <n v="1"/>
    <n v="2025"/>
    <x v="1"/>
  </r>
  <r>
    <x v="9"/>
    <x v="3"/>
    <x v="9"/>
    <x v="1"/>
    <n v="52"/>
    <x v="1"/>
    <x v="3"/>
    <n v="50"/>
    <n v="200"/>
    <x v="0"/>
    <n v="1"/>
    <n v="2025"/>
    <x v="1"/>
  </r>
  <r>
    <x v="10"/>
    <x v="3"/>
    <x v="10"/>
    <x v="0"/>
    <n v="23"/>
    <x v="1"/>
    <x v="1"/>
    <n v="50"/>
    <n v="100"/>
    <x v="0"/>
    <n v="1"/>
    <n v="2025"/>
    <x v="3"/>
  </r>
  <r>
    <x v="11"/>
    <x v="4"/>
    <x v="8"/>
    <x v="0"/>
    <n v="35"/>
    <x v="0"/>
    <x v="0"/>
    <n v="25"/>
    <n v="75"/>
    <x v="0"/>
    <n v="1"/>
    <n v="2025"/>
    <x v="0"/>
  </r>
  <r>
    <x v="12"/>
    <x v="4"/>
    <x v="11"/>
    <x v="0"/>
    <n v="22"/>
    <x v="2"/>
    <x v="0"/>
    <n v="500"/>
    <n v="1500"/>
    <x v="0"/>
    <n v="1"/>
    <n v="2025"/>
    <x v="3"/>
  </r>
  <r>
    <x v="13"/>
    <x v="4"/>
    <x v="12"/>
    <x v="0"/>
    <n v="64"/>
    <x v="1"/>
    <x v="3"/>
    <n v="30"/>
    <n v="120"/>
    <x v="0"/>
    <n v="1"/>
    <n v="2025"/>
    <x v="1"/>
  </r>
  <r>
    <x v="14"/>
    <x v="5"/>
    <x v="13"/>
    <x v="1"/>
    <n v="42"/>
    <x v="2"/>
    <x v="3"/>
    <n v="500"/>
    <n v="2000"/>
    <x v="0"/>
    <n v="1"/>
    <n v="2025"/>
    <x v="2"/>
  </r>
  <r>
    <x v="15"/>
    <x v="5"/>
    <x v="14"/>
    <x v="0"/>
    <n v="19"/>
    <x v="1"/>
    <x v="0"/>
    <n v="500"/>
    <n v="1500"/>
    <x v="0"/>
    <n v="1"/>
    <n v="2025"/>
    <x v="3"/>
  </r>
  <r>
    <x v="16"/>
    <x v="6"/>
    <x v="15"/>
    <x v="1"/>
    <n v="27"/>
    <x v="1"/>
    <x v="3"/>
    <n v="25"/>
    <n v="100"/>
    <x v="0"/>
    <n v="1"/>
    <n v="2025"/>
    <x v="0"/>
  </r>
  <r>
    <x v="17"/>
    <x v="6"/>
    <x v="16"/>
    <x v="1"/>
    <n v="47"/>
    <x v="2"/>
    <x v="1"/>
    <n v="25"/>
    <n v="50"/>
    <x v="0"/>
    <n v="1"/>
    <n v="2025"/>
    <x v="1"/>
  </r>
  <r>
    <x v="18"/>
    <x v="7"/>
    <x v="17"/>
    <x v="1"/>
    <n v="62"/>
    <x v="1"/>
    <x v="1"/>
    <n v="25"/>
    <n v="50"/>
    <x v="0"/>
    <n v="1"/>
    <n v="2025"/>
    <x v="1"/>
  </r>
  <r>
    <x v="19"/>
    <x v="7"/>
    <x v="18"/>
    <x v="0"/>
    <n v="22"/>
    <x v="1"/>
    <x v="0"/>
    <n v="300"/>
    <n v="900"/>
    <x v="0"/>
    <n v="1"/>
    <n v="2025"/>
    <x v="3"/>
  </r>
  <r>
    <x v="20"/>
    <x v="8"/>
    <x v="19"/>
    <x v="1"/>
    <n v="50"/>
    <x v="0"/>
    <x v="2"/>
    <n v="500"/>
    <n v="500"/>
    <x v="0"/>
    <n v="1"/>
    <n v="2025"/>
    <x v="1"/>
  </r>
  <r>
    <x v="21"/>
    <x v="9"/>
    <x v="20"/>
    <x v="0"/>
    <n v="18"/>
    <x v="1"/>
    <x v="1"/>
    <n v="50"/>
    <n v="100"/>
    <x v="0"/>
    <n v="1"/>
    <n v="2025"/>
    <x v="3"/>
  </r>
  <r>
    <x v="22"/>
    <x v="9"/>
    <x v="21"/>
    <x v="1"/>
    <n v="35"/>
    <x v="1"/>
    <x v="3"/>
    <n v="30"/>
    <n v="120"/>
    <x v="0"/>
    <n v="1"/>
    <n v="2025"/>
    <x v="0"/>
  </r>
  <r>
    <x v="23"/>
    <x v="10"/>
    <x v="22"/>
    <x v="1"/>
    <n v="49"/>
    <x v="1"/>
    <x v="2"/>
    <n v="300"/>
    <n v="300"/>
    <x v="0"/>
    <n v="1"/>
    <n v="2025"/>
    <x v="1"/>
  </r>
  <r>
    <x v="24"/>
    <x v="10"/>
    <x v="17"/>
    <x v="1"/>
    <n v="64"/>
    <x v="0"/>
    <x v="2"/>
    <n v="50"/>
    <n v="50"/>
    <x v="0"/>
    <n v="1"/>
    <n v="2025"/>
    <x v="1"/>
  </r>
  <r>
    <x v="25"/>
    <x v="10"/>
    <x v="23"/>
    <x v="1"/>
    <n v="28"/>
    <x v="2"/>
    <x v="1"/>
    <n v="500"/>
    <n v="1000"/>
    <x v="0"/>
    <n v="1"/>
    <n v="2025"/>
    <x v="0"/>
  </r>
  <r>
    <x v="26"/>
    <x v="11"/>
    <x v="24"/>
    <x v="1"/>
    <n v="38"/>
    <x v="0"/>
    <x v="1"/>
    <n v="25"/>
    <n v="50"/>
    <x v="0"/>
    <n v="1"/>
    <n v="2025"/>
    <x v="2"/>
  </r>
  <r>
    <x v="27"/>
    <x v="11"/>
    <x v="25"/>
    <x v="1"/>
    <n v="43"/>
    <x v="0"/>
    <x v="2"/>
    <n v="500"/>
    <n v="500"/>
    <x v="0"/>
    <n v="1"/>
    <n v="2025"/>
    <x v="2"/>
  </r>
  <r>
    <x v="28"/>
    <x v="11"/>
    <x v="26"/>
    <x v="1"/>
    <n v="42"/>
    <x v="2"/>
    <x v="2"/>
    <n v="30"/>
    <n v="30"/>
    <x v="0"/>
    <n v="1"/>
    <n v="2025"/>
    <x v="2"/>
  </r>
  <r>
    <x v="29"/>
    <x v="11"/>
    <x v="17"/>
    <x v="1"/>
    <n v="39"/>
    <x v="0"/>
    <x v="0"/>
    <n v="300"/>
    <n v="900"/>
    <x v="0"/>
    <n v="1"/>
    <n v="2025"/>
    <x v="2"/>
  </r>
  <r>
    <x v="30"/>
    <x v="12"/>
    <x v="27"/>
    <x v="0"/>
    <n v="44"/>
    <x v="2"/>
    <x v="3"/>
    <n v="300"/>
    <n v="1200"/>
    <x v="0"/>
    <n v="1"/>
    <n v="2025"/>
    <x v="2"/>
  </r>
  <r>
    <x v="31"/>
    <x v="12"/>
    <x v="28"/>
    <x v="0"/>
    <n v="30"/>
    <x v="0"/>
    <x v="0"/>
    <n v="30"/>
    <n v="90"/>
    <x v="0"/>
    <n v="1"/>
    <n v="2025"/>
    <x v="0"/>
  </r>
  <r>
    <x v="32"/>
    <x v="12"/>
    <x v="29"/>
    <x v="1"/>
    <n v="50"/>
    <x v="2"/>
    <x v="1"/>
    <n v="50"/>
    <n v="100"/>
    <x v="0"/>
    <n v="1"/>
    <n v="2025"/>
    <x v="1"/>
  </r>
  <r>
    <x v="33"/>
    <x v="12"/>
    <x v="30"/>
    <x v="1"/>
    <n v="51"/>
    <x v="1"/>
    <x v="0"/>
    <n v="50"/>
    <n v="150"/>
    <x v="0"/>
    <n v="1"/>
    <n v="2025"/>
    <x v="1"/>
  </r>
  <r>
    <x v="34"/>
    <x v="13"/>
    <x v="7"/>
    <x v="1"/>
    <n v="58"/>
    <x v="0"/>
    <x v="0"/>
    <n v="300"/>
    <n v="900"/>
    <x v="0"/>
    <n v="1"/>
    <n v="2025"/>
    <x v="1"/>
  </r>
  <r>
    <x v="35"/>
    <x v="13"/>
    <x v="31"/>
    <x v="0"/>
    <n v="52"/>
    <x v="0"/>
    <x v="0"/>
    <n v="300"/>
    <n v="900"/>
    <x v="0"/>
    <n v="1"/>
    <n v="2025"/>
    <x v="1"/>
  </r>
  <r>
    <x v="36"/>
    <x v="13"/>
    <x v="8"/>
    <x v="1"/>
    <n v="18"/>
    <x v="0"/>
    <x v="0"/>
    <n v="25"/>
    <n v="75"/>
    <x v="0"/>
    <n v="1"/>
    <n v="2025"/>
    <x v="3"/>
  </r>
  <r>
    <x v="37"/>
    <x v="14"/>
    <x v="32"/>
    <x v="0"/>
    <n v="38"/>
    <x v="0"/>
    <x v="3"/>
    <n v="50"/>
    <n v="200"/>
    <x v="0"/>
    <n v="1"/>
    <n v="2025"/>
    <x v="2"/>
  </r>
  <r>
    <x v="38"/>
    <x v="14"/>
    <x v="12"/>
    <x v="0"/>
    <n v="23"/>
    <x v="1"/>
    <x v="3"/>
    <n v="30"/>
    <n v="120"/>
    <x v="0"/>
    <n v="1"/>
    <n v="2025"/>
    <x v="3"/>
  </r>
  <r>
    <x v="39"/>
    <x v="15"/>
    <x v="33"/>
    <x v="0"/>
    <n v="45"/>
    <x v="0"/>
    <x v="2"/>
    <n v="50"/>
    <n v="50"/>
    <x v="0"/>
    <n v="1"/>
    <n v="2025"/>
    <x v="2"/>
  </r>
  <r>
    <x v="40"/>
    <x v="15"/>
    <x v="14"/>
    <x v="0"/>
    <n v="34"/>
    <x v="1"/>
    <x v="1"/>
    <n v="25"/>
    <n v="50"/>
    <x v="0"/>
    <n v="1"/>
    <n v="2025"/>
    <x v="0"/>
  </r>
  <r>
    <x v="41"/>
    <x v="15"/>
    <x v="34"/>
    <x v="0"/>
    <n v="22"/>
    <x v="1"/>
    <x v="0"/>
    <n v="300"/>
    <n v="900"/>
    <x v="0"/>
    <n v="1"/>
    <n v="2025"/>
    <x v="3"/>
  </r>
  <r>
    <x v="42"/>
    <x v="15"/>
    <x v="17"/>
    <x v="1"/>
    <n v="48"/>
    <x v="1"/>
    <x v="2"/>
    <n v="300"/>
    <n v="300"/>
    <x v="0"/>
    <n v="1"/>
    <n v="2025"/>
    <x v="1"/>
  </r>
  <r>
    <x v="43"/>
    <x v="16"/>
    <x v="35"/>
    <x v="1"/>
    <n v="22"/>
    <x v="1"/>
    <x v="2"/>
    <n v="25"/>
    <n v="25"/>
    <x v="0"/>
    <n v="1"/>
    <n v="2025"/>
    <x v="3"/>
  </r>
  <r>
    <x v="44"/>
    <x v="17"/>
    <x v="25"/>
    <x v="1"/>
    <n v="55"/>
    <x v="2"/>
    <x v="2"/>
    <n v="30"/>
    <n v="30"/>
    <x v="0"/>
    <n v="1"/>
    <n v="2025"/>
    <x v="1"/>
  </r>
  <r>
    <x v="45"/>
    <x v="17"/>
    <x v="36"/>
    <x v="1"/>
    <n v="20"/>
    <x v="2"/>
    <x v="3"/>
    <n v="300"/>
    <n v="1200"/>
    <x v="0"/>
    <n v="1"/>
    <n v="2025"/>
    <x v="3"/>
  </r>
  <r>
    <x v="46"/>
    <x v="18"/>
    <x v="28"/>
    <x v="1"/>
    <n v="40"/>
    <x v="0"/>
    <x v="0"/>
    <n v="500"/>
    <n v="1500"/>
    <x v="0"/>
    <n v="1"/>
    <n v="2025"/>
    <x v="2"/>
  </r>
  <r>
    <x v="47"/>
    <x v="18"/>
    <x v="37"/>
    <x v="0"/>
    <n v="54"/>
    <x v="2"/>
    <x v="0"/>
    <n v="300"/>
    <n v="900"/>
    <x v="0"/>
    <n v="1"/>
    <n v="2025"/>
    <x v="1"/>
  </r>
  <r>
    <x v="48"/>
    <x v="18"/>
    <x v="38"/>
    <x v="1"/>
    <n v="54"/>
    <x v="2"/>
    <x v="1"/>
    <n v="500"/>
    <n v="1000"/>
    <x v="0"/>
    <n v="1"/>
    <n v="2025"/>
    <x v="1"/>
  </r>
  <r>
    <x v="49"/>
    <x v="19"/>
    <x v="39"/>
    <x v="1"/>
    <n v="27"/>
    <x v="0"/>
    <x v="0"/>
    <n v="25"/>
    <n v="75"/>
    <x v="0"/>
    <n v="1"/>
    <n v="2025"/>
    <x v="0"/>
  </r>
  <r>
    <x v="50"/>
    <x v="19"/>
    <x v="40"/>
    <x v="0"/>
    <n v="27"/>
    <x v="0"/>
    <x v="0"/>
    <n v="25"/>
    <n v="75"/>
    <x v="0"/>
    <n v="1"/>
    <n v="2025"/>
    <x v="0"/>
  </r>
  <r>
    <x v="51"/>
    <x v="20"/>
    <x v="14"/>
    <x v="1"/>
    <n v="36"/>
    <x v="0"/>
    <x v="2"/>
    <n v="300"/>
    <n v="300"/>
    <x v="0"/>
    <n v="1"/>
    <n v="2025"/>
    <x v="2"/>
  </r>
  <r>
    <x v="52"/>
    <x v="20"/>
    <x v="41"/>
    <x v="0"/>
    <n v="34"/>
    <x v="2"/>
    <x v="1"/>
    <n v="50"/>
    <n v="100"/>
    <x v="0"/>
    <n v="1"/>
    <n v="2025"/>
    <x v="0"/>
  </r>
  <r>
    <x v="53"/>
    <x v="20"/>
    <x v="17"/>
    <x v="1"/>
    <n v="38"/>
    <x v="2"/>
    <x v="0"/>
    <n v="500"/>
    <n v="1500"/>
    <x v="0"/>
    <n v="1"/>
    <n v="2025"/>
    <x v="2"/>
  </r>
  <r>
    <x v="54"/>
    <x v="21"/>
    <x v="42"/>
    <x v="0"/>
    <n v="31"/>
    <x v="0"/>
    <x v="3"/>
    <n v="30"/>
    <n v="120"/>
    <x v="0"/>
    <n v="1"/>
    <n v="2025"/>
    <x v="0"/>
  </r>
  <r>
    <x v="55"/>
    <x v="21"/>
    <x v="25"/>
    <x v="1"/>
    <n v="26"/>
    <x v="1"/>
    <x v="0"/>
    <n v="300"/>
    <n v="900"/>
    <x v="0"/>
    <n v="1"/>
    <n v="2025"/>
    <x v="0"/>
  </r>
  <r>
    <x v="56"/>
    <x v="21"/>
    <x v="43"/>
    <x v="1"/>
    <n v="63"/>
    <x v="0"/>
    <x v="2"/>
    <n v="30"/>
    <n v="30"/>
    <x v="0"/>
    <n v="1"/>
    <n v="2025"/>
    <x v="1"/>
  </r>
  <r>
    <x v="57"/>
    <x v="22"/>
    <x v="28"/>
    <x v="0"/>
    <n v="18"/>
    <x v="1"/>
    <x v="3"/>
    <n v="300"/>
    <n v="1200"/>
    <x v="0"/>
    <n v="1"/>
    <n v="2025"/>
    <x v="3"/>
  </r>
  <r>
    <x v="58"/>
    <x v="23"/>
    <x v="44"/>
    <x v="0"/>
    <n v="62"/>
    <x v="1"/>
    <x v="2"/>
    <n v="50"/>
    <n v="50"/>
    <x v="0"/>
    <n v="1"/>
    <n v="2025"/>
    <x v="1"/>
  </r>
  <r>
    <x v="59"/>
    <x v="23"/>
    <x v="30"/>
    <x v="0"/>
    <n v="30"/>
    <x v="0"/>
    <x v="0"/>
    <n v="50"/>
    <n v="150"/>
    <x v="0"/>
    <n v="1"/>
    <n v="2025"/>
    <x v="0"/>
  </r>
  <r>
    <x v="60"/>
    <x v="23"/>
    <x v="45"/>
    <x v="0"/>
    <n v="21"/>
    <x v="0"/>
    <x v="3"/>
    <n v="50"/>
    <n v="200"/>
    <x v="0"/>
    <n v="1"/>
    <n v="2025"/>
    <x v="3"/>
  </r>
  <r>
    <x v="61"/>
    <x v="23"/>
    <x v="32"/>
    <x v="0"/>
    <n v="18"/>
    <x v="0"/>
    <x v="1"/>
    <n v="50"/>
    <n v="100"/>
    <x v="0"/>
    <n v="1"/>
    <n v="2025"/>
    <x v="3"/>
  </r>
  <r>
    <x v="62"/>
    <x v="24"/>
    <x v="2"/>
    <x v="0"/>
    <n v="57"/>
    <x v="2"/>
    <x v="1"/>
    <n v="25"/>
    <n v="50"/>
    <x v="0"/>
    <n v="1"/>
    <n v="2025"/>
    <x v="1"/>
  </r>
  <r>
    <x v="63"/>
    <x v="24"/>
    <x v="46"/>
    <x v="0"/>
    <n v="49"/>
    <x v="1"/>
    <x v="3"/>
    <n v="25"/>
    <n v="100"/>
    <x v="0"/>
    <n v="1"/>
    <n v="2025"/>
    <x v="1"/>
  </r>
  <r>
    <x v="64"/>
    <x v="24"/>
    <x v="7"/>
    <x v="0"/>
    <n v="51"/>
    <x v="2"/>
    <x v="3"/>
    <n v="500"/>
    <n v="2000"/>
    <x v="0"/>
    <n v="1"/>
    <n v="2025"/>
    <x v="1"/>
  </r>
  <r>
    <x v="65"/>
    <x v="25"/>
    <x v="47"/>
    <x v="1"/>
    <n v="45"/>
    <x v="2"/>
    <x v="2"/>
    <n v="30"/>
    <n v="30"/>
    <x v="0"/>
    <n v="1"/>
    <n v="2025"/>
    <x v="2"/>
  </r>
  <r>
    <x v="66"/>
    <x v="25"/>
    <x v="8"/>
    <x v="1"/>
    <n v="48"/>
    <x v="0"/>
    <x v="3"/>
    <n v="300"/>
    <n v="1200"/>
    <x v="0"/>
    <n v="1"/>
    <n v="2025"/>
    <x v="1"/>
  </r>
  <r>
    <x v="67"/>
    <x v="25"/>
    <x v="48"/>
    <x v="0"/>
    <n v="25"/>
    <x v="2"/>
    <x v="2"/>
    <n v="300"/>
    <n v="300"/>
    <x v="0"/>
    <n v="1"/>
    <n v="2025"/>
    <x v="3"/>
  </r>
  <r>
    <x v="68"/>
    <x v="26"/>
    <x v="12"/>
    <x v="1"/>
    <n v="56"/>
    <x v="0"/>
    <x v="0"/>
    <n v="25"/>
    <n v="75"/>
    <x v="0"/>
    <n v="1"/>
    <n v="2025"/>
    <x v="1"/>
  </r>
  <r>
    <x v="69"/>
    <x v="27"/>
    <x v="49"/>
    <x v="1"/>
    <n v="43"/>
    <x v="1"/>
    <x v="2"/>
    <n v="300"/>
    <n v="300"/>
    <x v="0"/>
    <n v="1"/>
    <n v="2025"/>
    <x v="2"/>
  </r>
  <r>
    <x v="70"/>
    <x v="27"/>
    <x v="14"/>
    <x v="1"/>
    <n v="51"/>
    <x v="0"/>
    <x v="3"/>
    <n v="25"/>
    <n v="100"/>
    <x v="0"/>
    <n v="1"/>
    <n v="2025"/>
    <x v="1"/>
  </r>
  <r>
    <x v="71"/>
    <x v="27"/>
    <x v="50"/>
    <x v="1"/>
    <n v="20"/>
    <x v="2"/>
    <x v="3"/>
    <n v="500"/>
    <n v="2000"/>
    <x v="0"/>
    <n v="1"/>
    <n v="2025"/>
    <x v="3"/>
  </r>
  <r>
    <x v="72"/>
    <x v="27"/>
    <x v="17"/>
    <x v="0"/>
    <n v="29"/>
    <x v="2"/>
    <x v="0"/>
    <n v="30"/>
    <n v="90"/>
    <x v="0"/>
    <n v="1"/>
    <n v="2025"/>
    <x v="0"/>
  </r>
  <r>
    <x v="73"/>
    <x v="28"/>
    <x v="51"/>
    <x v="1"/>
    <n v="18"/>
    <x v="0"/>
    <x v="3"/>
    <n v="500"/>
    <n v="2000"/>
    <x v="0"/>
    <n v="1"/>
    <n v="2025"/>
    <x v="3"/>
  </r>
  <r>
    <x v="74"/>
    <x v="28"/>
    <x v="25"/>
    <x v="0"/>
    <n v="61"/>
    <x v="0"/>
    <x v="3"/>
    <n v="50"/>
    <n v="200"/>
    <x v="0"/>
    <n v="1"/>
    <n v="2025"/>
    <x v="1"/>
  </r>
  <r>
    <x v="75"/>
    <x v="28"/>
    <x v="52"/>
    <x v="1"/>
    <n v="22"/>
    <x v="2"/>
    <x v="1"/>
    <n v="50"/>
    <n v="100"/>
    <x v="0"/>
    <n v="1"/>
    <n v="2025"/>
    <x v="3"/>
  </r>
  <r>
    <x v="76"/>
    <x v="29"/>
    <x v="53"/>
    <x v="1"/>
    <n v="47"/>
    <x v="1"/>
    <x v="1"/>
    <n v="50"/>
    <n v="100"/>
    <x v="1"/>
    <n v="2"/>
    <n v="2025"/>
    <x v="1"/>
  </r>
  <r>
    <x v="77"/>
    <x v="29"/>
    <x v="28"/>
    <x v="1"/>
    <n v="47"/>
    <x v="1"/>
    <x v="0"/>
    <n v="500"/>
    <n v="1500"/>
    <x v="1"/>
    <n v="2"/>
    <n v="2025"/>
    <x v="1"/>
  </r>
  <r>
    <x v="78"/>
    <x v="29"/>
    <x v="54"/>
    <x v="0"/>
    <n v="34"/>
    <x v="0"/>
    <x v="2"/>
    <n v="300"/>
    <n v="300"/>
    <x v="1"/>
    <n v="2"/>
    <n v="2025"/>
    <x v="0"/>
  </r>
  <r>
    <x v="79"/>
    <x v="30"/>
    <x v="30"/>
    <x v="1"/>
    <n v="64"/>
    <x v="1"/>
    <x v="1"/>
    <n v="30"/>
    <n v="60"/>
    <x v="1"/>
    <n v="2"/>
    <n v="2025"/>
    <x v="1"/>
  </r>
  <r>
    <x v="80"/>
    <x v="30"/>
    <x v="55"/>
    <x v="0"/>
    <n v="40"/>
    <x v="2"/>
    <x v="2"/>
    <n v="50"/>
    <n v="50"/>
    <x v="1"/>
    <n v="2"/>
    <n v="2025"/>
    <x v="2"/>
  </r>
  <r>
    <x v="81"/>
    <x v="30"/>
    <x v="32"/>
    <x v="1"/>
    <n v="32"/>
    <x v="0"/>
    <x v="3"/>
    <n v="50"/>
    <n v="200"/>
    <x v="1"/>
    <n v="2"/>
    <n v="2025"/>
    <x v="0"/>
  </r>
  <r>
    <x v="82"/>
    <x v="31"/>
    <x v="56"/>
    <x v="0"/>
    <n v="54"/>
    <x v="2"/>
    <x v="1"/>
    <n v="50"/>
    <n v="100"/>
    <x v="1"/>
    <n v="2"/>
    <n v="2025"/>
    <x v="1"/>
  </r>
  <r>
    <x v="83"/>
    <x v="31"/>
    <x v="44"/>
    <x v="1"/>
    <n v="38"/>
    <x v="2"/>
    <x v="0"/>
    <n v="30"/>
    <n v="90"/>
    <x v="1"/>
    <n v="2"/>
    <n v="2025"/>
    <x v="2"/>
  </r>
  <r>
    <x v="84"/>
    <x v="32"/>
    <x v="45"/>
    <x v="0"/>
    <n v="31"/>
    <x v="1"/>
    <x v="0"/>
    <n v="50"/>
    <n v="150"/>
    <x v="1"/>
    <n v="2"/>
    <n v="2025"/>
    <x v="0"/>
  </r>
  <r>
    <x v="85"/>
    <x v="32"/>
    <x v="57"/>
    <x v="0"/>
    <n v="19"/>
    <x v="0"/>
    <x v="0"/>
    <n v="30"/>
    <n v="90"/>
    <x v="1"/>
    <n v="2"/>
    <n v="2025"/>
    <x v="3"/>
  </r>
  <r>
    <x v="86"/>
    <x v="33"/>
    <x v="58"/>
    <x v="1"/>
    <n v="28"/>
    <x v="0"/>
    <x v="1"/>
    <n v="50"/>
    <n v="100"/>
    <x v="1"/>
    <n v="2"/>
    <n v="2025"/>
    <x v="0"/>
  </r>
  <r>
    <x v="87"/>
    <x v="33"/>
    <x v="59"/>
    <x v="0"/>
    <n v="56"/>
    <x v="1"/>
    <x v="2"/>
    <n v="500"/>
    <n v="500"/>
    <x v="1"/>
    <n v="2"/>
    <n v="2025"/>
    <x v="1"/>
  </r>
  <r>
    <x v="88"/>
    <x v="33"/>
    <x v="60"/>
    <x v="1"/>
    <n v="55"/>
    <x v="2"/>
    <x v="3"/>
    <n v="500"/>
    <n v="2000"/>
    <x v="1"/>
    <n v="2"/>
    <n v="2025"/>
    <x v="1"/>
  </r>
  <r>
    <x v="89"/>
    <x v="33"/>
    <x v="61"/>
    <x v="1"/>
    <n v="51"/>
    <x v="2"/>
    <x v="2"/>
    <n v="30"/>
    <n v="30"/>
    <x v="1"/>
    <n v="2"/>
    <n v="2025"/>
    <x v="1"/>
  </r>
  <r>
    <x v="90"/>
    <x v="33"/>
    <x v="14"/>
    <x v="1"/>
    <n v="55"/>
    <x v="2"/>
    <x v="2"/>
    <n v="500"/>
    <n v="500"/>
    <x v="1"/>
    <n v="2"/>
    <n v="2025"/>
    <x v="1"/>
  </r>
  <r>
    <x v="91"/>
    <x v="33"/>
    <x v="62"/>
    <x v="1"/>
    <n v="51"/>
    <x v="2"/>
    <x v="3"/>
    <n v="30"/>
    <n v="120"/>
    <x v="1"/>
    <n v="2"/>
    <n v="2025"/>
    <x v="1"/>
  </r>
  <r>
    <x v="92"/>
    <x v="33"/>
    <x v="63"/>
    <x v="1"/>
    <n v="35"/>
    <x v="0"/>
    <x v="3"/>
    <n v="500"/>
    <n v="2000"/>
    <x v="1"/>
    <n v="2"/>
    <n v="2025"/>
    <x v="0"/>
  </r>
  <r>
    <x v="93"/>
    <x v="33"/>
    <x v="25"/>
    <x v="1"/>
    <n v="47"/>
    <x v="0"/>
    <x v="1"/>
    <n v="500"/>
    <n v="1000"/>
    <x v="1"/>
    <n v="2"/>
    <n v="2025"/>
    <x v="1"/>
  </r>
  <r>
    <x v="94"/>
    <x v="34"/>
    <x v="64"/>
    <x v="1"/>
    <n v="32"/>
    <x v="1"/>
    <x v="1"/>
    <n v="30"/>
    <n v="60"/>
    <x v="1"/>
    <n v="2"/>
    <n v="2025"/>
    <x v="0"/>
  </r>
  <r>
    <x v="95"/>
    <x v="34"/>
    <x v="12"/>
    <x v="1"/>
    <n v="44"/>
    <x v="1"/>
    <x v="1"/>
    <n v="300"/>
    <n v="600"/>
    <x v="1"/>
    <n v="2"/>
    <n v="2025"/>
    <x v="2"/>
  </r>
  <r>
    <x v="96"/>
    <x v="34"/>
    <x v="65"/>
    <x v="1"/>
    <n v="51"/>
    <x v="0"/>
    <x v="1"/>
    <n v="500"/>
    <n v="1000"/>
    <x v="1"/>
    <n v="2"/>
    <n v="2025"/>
    <x v="1"/>
  </r>
  <r>
    <x v="97"/>
    <x v="34"/>
    <x v="66"/>
    <x v="1"/>
    <n v="55"/>
    <x v="0"/>
    <x v="1"/>
    <n v="50"/>
    <n v="100"/>
    <x v="1"/>
    <n v="2"/>
    <n v="2025"/>
    <x v="1"/>
  </r>
  <r>
    <x v="98"/>
    <x v="35"/>
    <x v="48"/>
    <x v="1"/>
    <n v="50"/>
    <x v="2"/>
    <x v="3"/>
    <n v="300"/>
    <n v="1200"/>
    <x v="1"/>
    <n v="2"/>
    <n v="2025"/>
    <x v="1"/>
  </r>
  <r>
    <x v="99"/>
    <x v="35"/>
    <x v="67"/>
    <x v="0"/>
    <n v="41"/>
    <x v="2"/>
    <x v="2"/>
    <n v="30"/>
    <n v="30"/>
    <x v="1"/>
    <n v="2"/>
    <n v="2025"/>
    <x v="2"/>
  </r>
  <r>
    <x v="100"/>
    <x v="35"/>
    <x v="17"/>
    <x v="0"/>
    <n v="32"/>
    <x v="1"/>
    <x v="1"/>
    <n v="300"/>
    <n v="600"/>
    <x v="1"/>
    <n v="2"/>
    <n v="2025"/>
    <x v="0"/>
  </r>
  <r>
    <x v="101"/>
    <x v="35"/>
    <x v="68"/>
    <x v="1"/>
    <n v="47"/>
    <x v="0"/>
    <x v="1"/>
    <n v="25"/>
    <n v="50"/>
    <x v="1"/>
    <n v="2"/>
    <n v="2025"/>
    <x v="1"/>
  </r>
  <r>
    <x v="102"/>
    <x v="36"/>
    <x v="32"/>
    <x v="1"/>
    <n v="59"/>
    <x v="1"/>
    <x v="2"/>
    <n v="25"/>
    <n v="25"/>
    <x v="1"/>
    <n v="2"/>
    <n v="2025"/>
    <x v="1"/>
  </r>
  <r>
    <x v="103"/>
    <x v="36"/>
    <x v="69"/>
    <x v="1"/>
    <n v="34"/>
    <x v="0"/>
    <x v="1"/>
    <n v="500"/>
    <n v="1000"/>
    <x v="1"/>
    <n v="2"/>
    <n v="2025"/>
    <x v="0"/>
  </r>
  <r>
    <x v="104"/>
    <x v="36"/>
    <x v="70"/>
    <x v="1"/>
    <n v="22"/>
    <x v="2"/>
    <x v="2"/>
    <n v="500"/>
    <n v="500"/>
    <x v="1"/>
    <n v="2"/>
    <n v="2025"/>
    <x v="3"/>
  </r>
  <r>
    <x v="105"/>
    <x v="36"/>
    <x v="71"/>
    <x v="1"/>
    <n v="46"/>
    <x v="1"/>
    <x v="2"/>
    <n v="50"/>
    <n v="50"/>
    <x v="1"/>
    <n v="2"/>
    <n v="2025"/>
    <x v="1"/>
  </r>
  <r>
    <x v="106"/>
    <x v="37"/>
    <x v="72"/>
    <x v="1"/>
    <n v="21"/>
    <x v="1"/>
    <x v="3"/>
    <n v="300"/>
    <n v="1200"/>
    <x v="1"/>
    <n v="2"/>
    <n v="2025"/>
    <x v="3"/>
  </r>
  <r>
    <x v="107"/>
    <x v="38"/>
    <x v="73"/>
    <x v="1"/>
    <n v="27"/>
    <x v="0"/>
    <x v="0"/>
    <n v="25"/>
    <n v="75"/>
    <x v="1"/>
    <n v="2"/>
    <n v="2025"/>
    <x v="0"/>
  </r>
  <r>
    <x v="108"/>
    <x v="38"/>
    <x v="62"/>
    <x v="1"/>
    <n v="34"/>
    <x v="2"/>
    <x v="3"/>
    <n v="500"/>
    <n v="2000"/>
    <x v="1"/>
    <n v="2"/>
    <n v="2025"/>
    <x v="0"/>
  </r>
  <r>
    <x v="109"/>
    <x v="38"/>
    <x v="74"/>
    <x v="0"/>
    <n v="27"/>
    <x v="1"/>
    <x v="0"/>
    <n v="300"/>
    <n v="900"/>
    <x v="1"/>
    <n v="2"/>
    <n v="2025"/>
    <x v="0"/>
  </r>
  <r>
    <x v="110"/>
    <x v="39"/>
    <x v="65"/>
    <x v="1"/>
    <n v="34"/>
    <x v="2"/>
    <x v="0"/>
    <n v="500"/>
    <n v="1500"/>
    <x v="1"/>
    <n v="2"/>
    <n v="2025"/>
    <x v="0"/>
  </r>
  <r>
    <x v="111"/>
    <x v="39"/>
    <x v="75"/>
    <x v="0"/>
    <n v="37"/>
    <x v="1"/>
    <x v="0"/>
    <n v="500"/>
    <n v="1500"/>
    <x v="1"/>
    <n v="2"/>
    <n v="2025"/>
    <x v="2"/>
  </r>
  <r>
    <x v="112"/>
    <x v="39"/>
    <x v="72"/>
    <x v="1"/>
    <n v="41"/>
    <x v="2"/>
    <x v="1"/>
    <n v="25"/>
    <n v="50"/>
    <x v="1"/>
    <n v="2"/>
    <n v="2025"/>
    <x v="2"/>
  </r>
  <r>
    <x v="113"/>
    <x v="39"/>
    <x v="76"/>
    <x v="1"/>
    <n v="22"/>
    <x v="0"/>
    <x v="3"/>
    <n v="25"/>
    <n v="100"/>
    <x v="1"/>
    <n v="2"/>
    <n v="2025"/>
    <x v="3"/>
  </r>
  <r>
    <x v="114"/>
    <x v="39"/>
    <x v="77"/>
    <x v="0"/>
    <n v="51"/>
    <x v="1"/>
    <x v="0"/>
    <n v="500"/>
    <n v="1500"/>
    <x v="1"/>
    <n v="2"/>
    <n v="2025"/>
    <x v="1"/>
  </r>
  <r>
    <x v="115"/>
    <x v="40"/>
    <x v="78"/>
    <x v="1"/>
    <n v="23"/>
    <x v="1"/>
    <x v="2"/>
    <n v="30"/>
    <n v="30"/>
    <x v="1"/>
    <n v="2"/>
    <n v="2025"/>
    <x v="3"/>
  </r>
  <r>
    <x v="116"/>
    <x v="41"/>
    <x v="79"/>
    <x v="0"/>
    <n v="19"/>
    <x v="2"/>
    <x v="1"/>
    <n v="500"/>
    <n v="1000"/>
    <x v="1"/>
    <n v="2"/>
    <n v="2025"/>
    <x v="3"/>
  </r>
  <r>
    <x v="117"/>
    <x v="41"/>
    <x v="80"/>
    <x v="1"/>
    <n v="30"/>
    <x v="2"/>
    <x v="2"/>
    <n v="500"/>
    <n v="500"/>
    <x v="1"/>
    <n v="2"/>
    <n v="2025"/>
    <x v="0"/>
  </r>
  <r>
    <x v="118"/>
    <x v="41"/>
    <x v="81"/>
    <x v="1"/>
    <n v="60"/>
    <x v="1"/>
    <x v="0"/>
    <n v="50"/>
    <n v="150"/>
    <x v="1"/>
    <n v="2"/>
    <n v="2025"/>
    <x v="1"/>
  </r>
  <r>
    <x v="119"/>
    <x v="41"/>
    <x v="82"/>
    <x v="0"/>
    <n v="60"/>
    <x v="0"/>
    <x v="2"/>
    <n v="50"/>
    <n v="50"/>
    <x v="1"/>
    <n v="2"/>
    <n v="2025"/>
    <x v="1"/>
  </r>
  <r>
    <x v="120"/>
    <x v="42"/>
    <x v="83"/>
    <x v="1"/>
    <n v="28"/>
    <x v="2"/>
    <x v="3"/>
    <n v="50"/>
    <n v="200"/>
    <x v="1"/>
    <n v="2"/>
    <n v="2025"/>
    <x v="0"/>
  </r>
  <r>
    <x v="121"/>
    <x v="42"/>
    <x v="25"/>
    <x v="0"/>
    <n v="64"/>
    <x v="2"/>
    <x v="3"/>
    <n v="30"/>
    <n v="120"/>
    <x v="1"/>
    <n v="2"/>
    <n v="2025"/>
    <x v="1"/>
  </r>
  <r>
    <x v="122"/>
    <x v="43"/>
    <x v="84"/>
    <x v="1"/>
    <n v="40"/>
    <x v="2"/>
    <x v="1"/>
    <n v="30"/>
    <n v="60"/>
    <x v="1"/>
    <n v="2"/>
    <n v="2025"/>
    <x v="2"/>
  </r>
  <r>
    <x v="123"/>
    <x v="44"/>
    <x v="28"/>
    <x v="0"/>
    <n v="33"/>
    <x v="1"/>
    <x v="3"/>
    <n v="500"/>
    <n v="2000"/>
    <x v="1"/>
    <n v="2"/>
    <n v="2025"/>
    <x v="0"/>
  </r>
  <r>
    <x v="124"/>
    <x v="44"/>
    <x v="85"/>
    <x v="0"/>
    <n v="48"/>
    <x v="1"/>
    <x v="1"/>
    <n v="50"/>
    <n v="100"/>
    <x v="1"/>
    <n v="2"/>
    <n v="2025"/>
    <x v="1"/>
  </r>
  <r>
    <x v="125"/>
    <x v="44"/>
    <x v="30"/>
    <x v="1"/>
    <n v="28"/>
    <x v="1"/>
    <x v="0"/>
    <n v="30"/>
    <n v="90"/>
    <x v="1"/>
    <n v="2"/>
    <n v="2025"/>
    <x v="0"/>
  </r>
  <r>
    <x v="126"/>
    <x v="44"/>
    <x v="86"/>
    <x v="1"/>
    <n v="33"/>
    <x v="1"/>
    <x v="1"/>
    <n v="25"/>
    <n v="50"/>
    <x v="1"/>
    <n v="2"/>
    <n v="2025"/>
    <x v="0"/>
  </r>
  <r>
    <x v="127"/>
    <x v="44"/>
    <x v="32"/>
    <x v="0"/>
    <n v="25"/>
    <x v="0"/>
    <x v="2"/>
    <n v="500"/>
    <n v="500"/>
    <x v="1"/>
    <n v="2"/>
    <n v="2025"/>
    <x v="3"/>
  </r>
  <r>
    <x v="128"/>
    <x v="44"/>
    <x v="87"/>
    <x v="1"/>
    <n v="21"/>
    <x v="0"/>
    <x v="1"/>
    <n v="300"/>
    <n v="600"/>
    <x v="1"/>
    <n v="2"/>
    <n v="2025"/>
    <x v="3"/>
  </r>
  <r>
    <x v="129"/>
    <x v="45"/>
    <x v="62"/>
    <x v="1"/>
    <n v="57"/>
    <x v="1"/>
    <x v="1"/>
    <n v="500"/>
    <n v="1000"/>
    <x v="1"/>
    <n v="2"/>
    <n v="2025"/>
    <x v="1"/>
  </r>
  <r>
    <x v="130"/>
    <x v="46"/>
    <x v="88"/>
    <x v="1"/>
    <n v="21"/>
    <x v="0"/>
    <x v="1"/>
    <n v="300"/>
    <n v="600"/>
    <x v="1"/>
    <n v="2"/>
    <n v="2025"/>
    <x v="3"/>
  </r>
  <r>
    <x v="131"/>
    <x v="46"/>
    <x v="82"/>
    <x v="0"/>
    <n v="42"/>
    <x v="2"/>
    <x v="3"/>
    <n v="50"/>
    <n v="200"/>
    <x v="1"/>
    <n v="2"/>
    <n v="2025"/>
    <x v="2"/>
  </r>
  <r>
    <x v="132"/>
    <x v="47"/>
    <x v="89"/>
    <x v="0"/>
    <n v="20"/>
    <x v="2"/>
    <x v="0"/>
    <n v="300"/>
    <n v="900"/>
    <x v="1"/>
    <n v="2"/>
    <n v="2025"/>
    <x v="3"/>
  </r>
  <r>
    <x v="133"/>
    <x v="47"/>
    <x v="83"/>
    <x v="0"/>
    <n v="49"/>
    <x v="2"/>
    <x v="2"/>
    <n v="50"/>
    <n v="50"/>
    <x v="1"/>
    <n v="2"/>
    <n v="2025"/>
    <x v="1"/>
  </r>
  <r>
    <x v="134"/>
    <x v="47"/>
    <x v="90"/>
    <x v="0"/>
    <n v="20"/>
    <x v="1"/>
    <x v="1"/>
    <n v="25"/>
    <n v="50"/>
    <x v="1"/>
    <n v="2"/>
    <n v="2025"/>
    <x v="3"/>
  </r>
  <r>
    <x v="135"/>
    <x v="48"/>
    <x v="88"/>
    <x v="0"/>
    <n v="44"/>
    <x v="2"/>
    <x v="1"/>
    <n v="300"/>
    <n v="600"/>
    <x v="1"/>
    <n v="2"/>
    <n v="2025"/>
    <x v="2"/>
  </r>
  <r>
    <x v="136"/>
    <x v="48"/>
    <x v="91"/>
    <x v="0"/>
    <n v="46"/>
    <x v="0"/>
    <x v="1"/>
    <n v="500"/>
    <n v="1000"/>
    <x v="1"/>
    <n v="2"/>
    <n v="2025"/>
    <x v="1"/>
  </r>
  <r>
    <x v="137"/>
    <x v="48"/>
    <x v="89"/>
    <x v="0"/>
    <n v="49"/>
    <x v="1"/>
    <x v="3"/>
    <n v="50"/>
    <n v="200"/>
    <x v="1"/>
    <n v="2"/>
    <n v="2025"/>
    <x v="1"/>
  </r>
  <r>
    <x v="138"/>
    <x v="49"/>
    <x v="92"/>
    <x v="0"/>
    <n v="36"/>
    <x v="0"/>
    <x v="3"/>
    <n v="500"/>
    <n v="2000"/>
    <x v="1"/>
    <n v="2"/>
    <n v="2025"/>
    <x v="2"/>
  </r>
  <r>
    <x v="139"/>
    <x v="49"/>
    <x v="90"/>
    <x v="0"/>
    <n v="38"/>
    <x v="2"/>
    <x v="2"/>
    <n v="30"/>
    <n v="30"/>
    <x v="1"/>
    <n v="2"/>
    <n v="2025"/>
    <x v="2"/>
  </r>
  <r>
    <x v="140"/>
    <x v="49"/>
    <x v="93"/>
    <x v="1"/>
    <n v="22"/>
    <x v="2"/>
    <x v="2"/>
    <n v="50"/>
    <n v="50"/>
    <x v="1"/>
    <n v="2"/>
    <n v="2025"/>
    <x v="3"/>
  </r>
  <r>
    <x v="141"/>
    <x v="49"/>
    <x v="91"/>
    <x v="0"/>
    <n v="35"/>
    <x v="2"/>
    <x v="3"/>
    <n v="300"/>
    <n v="1200"/>
    <x v="1"/>
    <n v="2"/>
    <n v="2025"/>
    <x v="0"/>
  </r>
  <r>
    <x v="142"/>
    <x v="49"/>
    <x v="94"/>
    <x v="1"/>
    <n v="45"/>
    <x v="1"/>
    <x v="3"/>
    <n v="50"/>
    <n v="200"/>
    <x v="1"/>
    <n v="2"/>
    <n v="2025"/>
    <x v="2"/>
  </r>
  <r>
    <x v="143"/>
    <x v="50"/>
    <x v="95"/>
    <x v="1"/>
    <n v="59"/>
    <x v="0"/>
    <x v="0"/>
    <n v="500"/>
    <n v="1500"/>
    <x v="1"/>
    <n v="2"/>
    <n v="2025"/>
    <x v="1"/>
  </r>
  <r>
    <x v="144"/>
    <x v="51"/>
    <x v="96"/>
    <x v="1"/>
    <n v="39"/>
    <x v="1"/>
    <x v="0"/>
    <n v="25"/>
    <n v="75"/>
    <x v="1"/>
    <n v="2"/>
    <n v="2025"/>
    <x v="2"/>
  </r>
  <r>
    <x v="145"/>
    <x v="51"/>
    <x v="97"/>
    <x v="0"/>
    <n v="38"/>
    <x v="1"/>
    <x v="3"/>
    <n v="50"/>
    <n v="200"/>
    <x v="1"/>
    <n v="2"/>
    <n v="2025"/>
    <x v="2"/>
  </r>
  <r>
    <x v="146"/>
    <x v="51"/>
    <x v="98"/>
    <x v="0"/>
    <n v="23"/>
    <x v="2"/>
    <x v="2"/>
    <n v="300"/>
    <n v="300"/>
    <x v="1"/>
    <n v="2"/>
    <n v="2025"/>
    <x v="3"/>
  </r>
  <r>
    <x v="147"/>
    <x v="51"/>
    <x v="99"/>
    <x v="0"/>
    <n v="18"/>
    <x v="1"/>
    <x v="1"/>
    <n v="30"/>
    <n v="60"/>
    <x v="1"/>
    <n v="2"/>
    <n v="2025"/>
    <x v="3"/>
  </r>
  <r>
    <x v="148"/>
    <x v="52"/>
    <x v="100"/>
    <x v="0"/>
    <n v="22"/>
    <x v="1"/>
    <x v="0"/>
    <n v="25"/>
    <n v="75"/>
    <x v="1"/>
    <n v="2"/>
    <n v="2025"/>
    <x v="3"/>
  </r>
  <r>
    <x v="149"/>
    <x v="52"/>
    <x v="32"/>
    <x v="1"/>
    <n v="58"/>
    <x v="2"/>
    <x v="3"/>
    <n v="30"/>
    <n v="120"/>
    <x v="1"/>
    <n v="2"/>
    <n v="2025"/>
    <x v="1"/>
  </r>
  <r>
    <x v="150"/>
    <x v="52"/>
    <x v="101"/>
    <x v="0"/>
    <n v="29"/>
    <x v="1"/>
    <x v="2"/>
    <n v="50"/>
    <n v="50"/>
    <x v="1"/>
    <n v="2"/>
    <n v="2025"/>
    <x v="0"/>
  </r>
  <r>
    <x v="151"/>
    <x v="52"/>
    <x v="17"/>
    <x v="0"/>
    <n v="43"/>
    <x v="2"/>
    <x v="3"/>
    <n v="500"/>
    <n v="2000"/>
    <x v="1"/>
    <n v="2"/>
    <n v="2025"/>
    <x v="2"/>
  </r>
  <r>
    <x v="152"/>
    <x v="53"/>
    <x v="102"/>
    <x v="0"/>
    <n v="63"/>
    <x v="2"/>
    <x v="1"/>
    <n v="500"/>
    <n v="1000"/>
    <x v="1"/>
    <n v="2"/>
    <n v="2025"/>
    <x v="1"/>
  </r>
  <r>
    <x v="153"/>
    <x v="54"/>
    <x v="88"/>
    <x v="0"/>
    <n v="51"/>
    <x v="2"/>
    <x v="0"/>
    <n v="300"/>
    <n v="900"/>
    <x v="1"/>
    <n v="2"/>
    <n v="2025"/>
    <x v="1"/>
  </r>
  <r>
    <x v="154"/>
    <x v="54"/>
    <x v="103"/>
    <x v="0"/>
    <n v="31"/>
    <x v="2"/>
    <x v="3"/>
    <n v="500"/>
    <n v="2000"/>
    <x v="1"/>
    <n v="2"/>
    <n v="2025"/>
    <x v="0"/>
  </r>
  <r>
    <x v="155"/>
    <x v="54"/>
    <x v="2"/>
    <x v="1"/>
    <n v="43"/>
    <x v="1"/>
    <x v="3"/>
    <n v="25"/>
    <n v="100"/>
    <x v="1"/>
    <n v="2"/>
    <n v="2025"/>
    <x v="2"/>
  </r>
  <r>
    <x v="156"/>
    <x v="54"/>
    <x v="104"/>
    <x v="0"/>
    <n v="62"/>
    <x v="2"/>
    <x v="3"/>
    <n v="500"/>
    <n v="2000"/>
    <x v="1"/>
    <n v="2"/>
    <n v="2025"/>
    <x v="1"/>
  </r>
  <r>
    <x v="157"/>
    <x v="55"/>
    <x v="48"/>
    <x v="1"/>
    <n v="44"/>
    <x v="2"/>
    <x v="0"/>
    <n v="300"/>
    <n v="900"/>
    <x v="1"/>
    <n v="2"/>
    <n v="2025"/>
    <x v="2"/>
  </r>
  <r>
    <x v="158"/>
    <x v="55"/>
    <x v="105"/>
    <x v="0"/>
    <n v="26"/>
    <x v="1"/>
    <x v="3"/>
    <n v="50"/>
    <n v="200"/>
    <x v="1"/>
    <n v="2"/>
    <n v="2025"/>
    <x v="0"/>
  </r>
  <r>
    <x v="159"/>
    <x v="55"/>
    <x v="72"/>
    <x v="1"/>
    <n v="43"/>
    <x v="1"/>
    <x v="1"/>
    <n v="50"/>
    <n v="100"/>
    <x v="1"/>
    <n v="2"/>
    <n v="2025"/>
    <x v="2"/>
  </r>
  <r>
    <x v="160"/>
    <x v="55"/>
    <x v="106"/>
    <x v="0"/>
    <n v="64"/>
    <x v="0"/>
    <x v="1"/>
    <n v="500"/>
    <n v="1000"/>
    <x v="1"/>
    <n v="2"/>
    <n v="2025"/>
    <x v="1"/>
  </r>
  <r>
    <x v="161"/>
    <x v="56"/>
    <x v="65"/>
    <x v="0"/>
    <n v="39"/>
    <x v="1"/>
    <x v="1"/>
    <n v="30"/>
    <n v="60"/>
    <x v="2"/>
    <n v="3"/>
    <n v="2025"/>
    <x v="2"/>
  </r>
  <r>
    <x v="162"/>
    <x v="56"/>
    <x v="12"/>
    <x v="1"/>
    <n v="64"/>
    <x v="1"/>
    <x v="0"/>
    <n v="50"/>
    <n v="150"/>
    <x v="2"/>
    <n v="3"/>
    <n v="2025"/>
    <x v="1"/>
  </r>
  <r>
    <x v="163"/>
    <x v="56"/>
    <x v="107"/>
    <x v="1"/>
    <n v="47"/>
    <x v="0"/>
    <x v="0"/>
    <n v="500"/>
    <n v="1500"/>
    <x v="2"/>
    <n v="3"/>
    <n v="2025"/>
    <x v="1"/>
  </r>
  <r>
    <x v="164"/>
    <x v="57"/>
    <x v="108"/>
    <x v="1"/>
    <n v="47"/>
    <x v="1"/>
    <x v="3"/>
    <n v="300"/>
    <n v="1200"/>
    <x v="2"/>
    <n v="3"/>
    <n v="2025"/>
    <x v="1"/>
  </r>
  <r>
    <x v="165"/>
    <x v="58"/>
    <x v="109"/>
    <x v="1"/>
    <n v="51"/>
    <x v="1"/>
    <x v="3"/>
    <n v="500"/>
    <n v="2000"/>
    <x v="2"/>
    <n v="3"/>
    <n v="2025"/>
    <x v="1"/>
  </r>
  <r>
    <x v="166"/>
    <x v="58"/>
    <x v="110"/>
    <x v="1"/>
    <n v="55"/>
    <x v="1"/>
    <x v="0"/>
    <n v="50"/>
    <n v="150"/>
    <x v="2"/>
    <n v="3"/>
    <n v="2025"/>
    <x v="1"/>
  </r>
  <r>
    <x v="167"/>
    <x v="58"/>
    <x v="111"/>
    <x v="1"/>
    <n v="47"/>
    <x v="1"/>
    <x v="2"/>
    <n v="300"/>
    <n v="300"/>
    <x v="2"/>
    <n v="3"/>
    <n v="2025"/>
    <x v="1"/>
  </r>
  <r>
    <x v="168"/>
    <x v="58"/>
    <x v="112"/>
    <x v="1"/>
    <n v="34"/>
    <x v="0"/>
    <x v="0"/>
    <n v="500"/>
    <n v="1500"/>
    <x v="2"/>
    <n v="3"/>
    <n v="2025"/>
    <x v="0"/>
  </r>
  <r>
    <x v="169"/>
    <x v="58"/>
    <x v="113"/>
    <x v="1"/>
    <n v="27"/>
    <x v="1"/>
    <x v="1"/>
    <n v="25"/>
    <n v="50"/>
    <x v="2"/>
    <n v="3"/>
    <n v="2025"/>
    <x v="0"/>
  </r>
  <r>
    <x v="170"/>
    <x v="59"/>
    <x v="114"/>
    <x v="1"/>
    <n v="22"/>
    <x v="1"/>
    <x v="0"/>
    <n v="300"/>
    <n v="900"/>
    <x v="2"/>
    <n v="3"/>
    <n v="2025"/>
    <x v="3"/>
  </r>
  <r>
    <x v="171"/>
    <x v="60"/>
    <x v="115"/>
    <x v="0"/>
    <n v="60"/>
    <x v="0"/>
    <x v="1"/>
    <n v="25"/>
    <n v="50"/>
    <x v="2"/>
    <n v="3"/>
    <n v="2025"/>
    <x v="1"/>
  </r>
  <r>
    <x v="172"/>
    <x v="60"/>
    <x v="17"/>
    <x v="0"/>
    <n v="25"/>
    <x v="2"/>
    <x v="3"/>
    <n v="30"/>
    <n v="120"/>
    <x v="2"/>
    <n v="3"/>
    <n v="2025"/>
    <x v="3"/>
  </r>
  <r>
    <x v="173"/>
    <x v="61"/>
    <x v="116"/>
    <x v="1"/>
    <n v="21"/>
    <x v="0"/>
    <x v="2"/>
    <n v="300"/>
    <n v="300"/>
    <x v="2"/>
    <n v="3"/>
    <n v="2025"/>
    <x v="3"/>
  </r>
  <r>
    <x v="174"/>
    <x v="61"/>
    <x v="110"/>
    <x v="1"/>
    <n v="21"/>
    <x v="2"/>
    <x v="3"/>
    <n v="25"/>
    <n v="100"/>
    <x v="2"/>
    <n v="3"/>
    <n v="2025"/>
    <x v="3"/>
  </r>
  <r>
    <x v="175"/>
    <x v="61"/>
    <x v="117"/>
    <x v="0"/>
    <n v="46"/>
    <x v="0"/>
    <x v="1"/>
    <n v="50"/>
    <n v="100"/>
    <x v="2"/>
    <n v="3"/>
    <n v="2025"/>
    <x v="1"/>
  </r>
  <r>
    <x v="176"/>
    <x v="61"/>
    <x v="112"/>
    <x v="0"/>
    <n v="36"/>
    <x v="0"/>
    <x v="1"/>
    <n v="50"/>
    <n v="100"/>
    <x v="2"/>
    <n v="3"/>
    <n v="2025"/>
    <x v="2"/>
  </r>
  <r>
    <x v="177"/>
    <x v="62"/>
    <x v="118"/>
    <x v="1"/>
    <n v="59"/>
    <x v="1"/>
    <x v="1"/>
    <n v="30"/>
    <n v="60"/>
    <x v="2"/>
    <n v="3"/>
    <n v="2025"/>
    <x v="1"/>
  </r>
  <r>
    <x v="178"/>
    <x v="62"/>
    <x v="107"/>
    <x v="0"/>
    <n v="64"/>
    <x v="2"/>
    <x v="2"/>
    <n v="300"/>
    <n v="300"/>
    <x v="2"/>
    <n v="3"/>
    <n v="2025"/>
    <x v="1"/>
  </r>
  <r>
    <x v="179"/>
    <x v="62"/>
    <x v="119"/>
    <x v="1"/>
    <n v="47"/>
    <x v="1"/>
    <x v="0"/>
    <n v="300"/>
    <n v="900"/>
    <x v="2"/>
    <n v="3"/>
    <n v="2025"/>
    <x v="1"/>
  </r>
  <r>
    <x v="180"/>
    <x v="62"/>
    <x v="88"/>
    <x v="0"/>
    <n v="18"/>
    <x v="2"/>
    <x v="3"/>
    <n v="300"/>
    <n v="1200"/>
    <x v="2"/>
    <n v="3"/>
    <n v="2025"/>
    <x v="3"/>
  </r>
  <r>
    <x v="181"/>
    <x v="63"/>
    <x v="120"/>
    <x v="0"/>
    <n v="32"/>
    <x v="0"/>
    <x v="3"/>
    <n v="30"/>
    <n v="120"/>
    <x v="2"/>
    <n v="3"/>
    <n v="2025"/>
    <x v="0"/>
  </r>
  <r>
    <x v="182"/>
    <x v="64"/>
    <x v="72"/>
    <x v="1"/>
    <n v="39"/>
    <x v="0"/>
    <x v="0"/>
    <n v="300"/>
    <n v="900"/>
    <x v="2"/>
    <n v="3"/>
    <n v="2025"/>
    <x v="2"/>
  </r>
  <r>
    <x v="183"/>
    <x v="64"/>
    <x v="121"/>
    <x v="1"/>
    <n v="43"/>
    <x v="2"/>
    <x v="3"/>
    <n v="50"/>
    <n v="200"/>
    <x v="2"/>
    <n v="3"/>
    <n v="2025"/>
    <x v="2"/>
  </r>
  <r>
    <x v="184"/>
    <x v="64"/>
    <x v="112"/>
    <x v="0"/>
    <n v="45"/>
    <x v="1"/>
    <x v="2"/>
    <n v="25"/>
    <n v="25"/>
    <x v="2"/>
    <n v="3"/>
    <n v="2025"/>
    <x v="2"/>
  </r>
  <r>
    <x v="185"/>
    <x v="65"/>
    <x v="122"/>
    <x v="0"/>
    <n v="62"/>
    <x v="1"/>
    <x v="3"/>
    <n v="50"/>
    <n v="200"/>
    <x v="2"/>
    <n v="3"/>
    <n v="2025"/>
    <x v="1"/>
  </r>
  <r>
    <x v="186"/>
    <x v="65"/>
    <x v="112"/>
    <x v="1"/>
    <n v="43"/>
    <x v="1"/>
    <x v="1"/>
    <n v="50"/>
    <n v="100"/>
    <x v="2"/>
    <n v="3"/>
    <n v="2025"/>
    <x v="2"/>
  </r>
  <r>
    <x v="187"/>
    <x v="66"/>
    <x v="123"/>
    <x v="0"/>
    <n v="63"/>
    <x v="1"/>
    <x v="0"/>
    <n v="25"/>
    <n v="75"/>
    <x v="2"/>
    <n v="3"/>
    <n v="2025"/>
    <x v="1"/>
  </r>
  <r>
    <x v="188"/>
    <x v="67"/>
    <x v="124"/>
    <x v="1"/>
    <n v="60"/>
    <x v="0"/>
    <x v="2"/>
    <n v="50"/>
    <n v="50"/>
    <x v="2"/>
    <n v="3"/>
    <n v="2025"/>
    <x v="1"/>
  </r>
  <r>
    <x v="189"/>
    <x v="67"/>
    <x v="125"/>
    <x v="0"/>
    <n v="64"/>
    <x v="0"/>
    <x v="0"/>
    <n v="30"/>
    <n v="90"/>
    <x v="2"/>
    <n v="3"/>
    <n v="2025"/>
    <x v="1"/>
  </r>
  <r>
    <x v="190"/>
    <x v="68"/>
    <x v="126"/>
    <x v="0"/>
    <n v="62"/>
    <x v="0"/>
    <x v="2"/>
    <n v="25"/>
    <n v="25"/>
    <x v="2"/>
    <n v="3"/>
    <n v="2025"/>
    <x v="1"/>
  </r>
  <r>
    <x v="191"/>
    <x v="68"/>
    <x v="127"/>
    <x v="0"/>
    <n v="35"/>
    <x v="0"/>
    <x v="1"/>
    <n v="50"/>
    <n v="100"/>
    <x v="2"/>
    <n v="3"/>
    <n v="2025"/>
    <x v="0"/>
  </r>
  <r>
    <x v="192"/>
    <x v="68"/>
    <x v="128"/>
    <x v="1"/>
    <n v="54"/>
    <x v="0"/>
    <x v="0"/>
    <n v="500"/>
    <n v="1500"/>
    <x v="2"/>
    <n v="3"/>
    <n v="2025"/>
    <x v="1"/>
  </r>
  <r>
    <x v="193"/>
    <x v="69"/>
    <x v="129"/>
    <x v="0"/>
    <n v="45"/>
    <x v="1"/>
    <x v="3"/>
    <n v="50"/>
    <n v="200"/>
    <x v="2"/>
    <n v="3"/>
    <n v="2025"/>
    <x v="2"/>
  </r>
  <r>
    <x v="194"/>
    <x v="70"/>
    <x v="130"/>
    <x v="0"/>
    <n v="27"/>
    <x v="1"/>
    <x v="2"/>
    <n v="30"/>
    <n v="30"/>
    <x v="2"/>
    <n v="3"/>
    <n v="2025"/>
    <x v="0"/>
  </r>
  <r>
    <x v="195"/>
    <x v="70"/>
    <x v="131"/>
    <x v="0"/>
    <n v="39"/>
    <x v="1"/>
    <x v="0"/>
    <n v="300"/>
    <n v="900"/>
    <x v="2"/>
    <n v="3"/>
    <n v="2025"/>
    <x v="2"/>
  </r>
  <r>
    <x v="196"/>
    <x v="70"/>
    <x v="132"/>
    <x v="1"/>
    <n v="42"/>
    <x v="1"/>
    <x v="3"/>
    <n v="50"/>
    <n v="200"/>
    <x v="2"/>
    <n v="3"/>
    <n v="2025"/>
    <x v="2"/>
  </r>
  <r>
    <x v="197"/>
    <x v="71"/>
    <x v="108"/>
    <x v="0"/>
    <n v="42"/>
    <x v="0"/>
    <x v="0"/>
    <n v="300"/>
    <n v="900"/>
    <x v="2"/>
    <n v="3"/>
    <n v="2025"/>
    <x v="2"/>
  </r>
  <r>
    <x v="198"/>
    <x v="71"/>
    <x v="133"/>
    <x v="0"/>
    <n v="27"/>
    <x v="0"/>
    <x v="0"/>
    <n v="500"/>
    <n v="1500"/>
    <x v="2"/>
    <n v="3"/>
    <n v="2025"/>
    <x v="0"/>
  </r>
  <r>
    <x v="199"/>
    <x v="72"/>
    <x v="17"/>
    <x v="0"/>
    <n v="20"/>
    <x v="0"/>
    <x v="0"/>
    <n v="50"/>
    <n v="150"/>
    <x v="2"/>
    <n v="3"/>
    <n v="2025"/>
    <x v="3"/>
  </r>
  <r>
    <x v="200"/>
    <x v="72"/>
    <x v="134"/>
    <x v="0"/>
    <n v="64"/>
    <x v="2"/>
    <x v="2"/>
    <n v="25"/>
    <n v="25"/>
    <x v="2"/>
    <n v="3"/>
    <n v="2025"/>
    <x v="1"/>
  </r>
  <r>
    <x v="201"/>
    <x v="73"/>
    <x v="112"/>
    <x v="0"/>
    <n v="64"/>
    <x v="1"/>
    <x v="3"/>
    <n v="300"/>
    <n v="1200"/>
    <x v="2"/>
    <n v="3"/>
    <n v="2025"/>
    <x v="1"/>
  </r>
  <r>
    <x v="202"/>
    <x v="73"/>
    <x v="135"/>
    <x v="0"/>
    <n v="39"/>
    <x v="1"/>
    <x v="1"/>
    <n v="500"/>
    <n v="1000"/>
    <x v="2"/>
    <n v="3"/>
    <n v="2025"/>
    <x v="2"/>
  </r>
  <r>
    <x v="203"/>
    <x v="73"/>
    <x v="113"/>
    <x v="1"/>
    <n v="57"/>
    <x v="0"/>
    <x v="2"/>
    <n v="25"/>
    <n v="25"/>
    <x v="2"/>
    <n v="3"/>
    <n v="2025"/>
    <x v="1"/>
  </r>
  <r>
    <x v="204"/>
    <x v="73"/>
    <x v="136"/>
    <x v="0"/>
    <n v="58"/>
    <x v="1"/>
    <x v="2"/>
    <n v="25"/>
    <n v="25"/>
    <x v="2"/>
    <n v="3"/>
    <n v="2025"/>
    <x v="1"/>
  </r>
  <r>
    <x v="205"/>
    <x v="73"/>
    <x v="48"/>
    <x v="0"/>
    <n v="54"/>
    <x v="1"/>
    <x v="2"/>
    <n v="25"/>
    <n v="25"/>
    <x v="2"/>
    <n v="3"/>
    <n v="2025"/>
    <x v="1"/>
  </r>
  <r>
    <x v="206"/>
    <x v="74"/>
    <x v="137"/>
    <x v="1"/>
    <n v="43"/>
    <x v="0"/>
    <x v="1"/>
    <n v="25"/>
    <n v="50"/>
    <x v="2"/>
    <n v="3"/>
    <n v="2025"/>
    <x v="2"/>
  </r>
  <r>
    <x v="207"/>
    <x v="74"/>
    <x v="138"/>
    <x v="1"/>
    <n v="51"/>
    <x v="2"/>
    <x v="3"/>
    <n v="50"/>
    <n v="200"/>
    <x v="2"/>
    <n v="3"/>
    <n v="2025"/>
    <x v="1"/>
  </r>
  <r>
    <x v="208"/>
    <x v="74"/>
    <x v="139"/>
    <x v="1"/>
    <n v="50"/>
    <x v="2"/>
    <x v="3"/>
    <n v="50"/>
    <n v="200"/>
    <x v="2"/>
    <n v="3"/>
    <n v="2025"/>
    <x v="1"/>
  </r>
  <r>
    <x v="209"/>
    <x v="74"/>
    <x v="140"/>
    <x v="1"/>
    <n v="39"/>
    <x v="2"/>
    <x v="3"/>
    <n v="50"/>
    <n v="200"/>
    <x v="2"/>
    <n v="3"/>
    <n v="2025"/>
    <x v="2"/>
  </r>
  <r>
    <x v="210"/>
    <x v="75"/>
    <x v="141"/>
    <x v="1"/>
    <n v="23"/>
    <x v="0"/>
    <x v="0"/>
    <n v="500"/>
    <n v="1500"/>
    <x v="2"/>
    <n v="3"/>
    <n v="2025"/>
    <x v="3"/>
  </r>
  <r>
    <x v="211"/>
    <x v="75"/>
    <x v="142"/>
    <x v="0"/>
    <n v="28"/>
    <x v="1"/>
    <x v="0"/>
    <n v="500"/>
    <n v="1500"/>
    <x v="2"/>
    <n v="3"/>
    <n v="2025"/>
    <x v="0"/>
  </r>
  <r>
    <x v="212"/>
    <x v="75"/>
    <x v="143"/>
    <x v="1"/>
    <n v="57"/>
    <x v="0"/>
    <x v="0"/>
    <n v="500"/>
    <n v="1500"/>
    <x v="2"/>
    <n v="3"/>
    <n v="2025"/>
    <x v="1"/>
  </r>
  <r>
    <x v="213"/>
    <x v="75"/>
    <x v="144"/>
    <x v="0"/>
    <n v="19"/>
    <x v="0"/>
    <x v="1"/>
    <n v="30"/>
    <n v="60"/>
    <x v="2"/>
    <n v="3"/>
    <n v="2025"/>
    <x v="3"/>
  </r>
  <r>
    <x v="214"/>
    <x v="75"/>
    <x v="145"/>
    <x v="1"/>
    <n v="60"/>
    <x v="1"/>
    <x v="0"/>
    <n v="500"/>
    <n v="1500"/>
    <x v="2"/>
    <n v="3"/>
    <n v="2025"/>
    <x v="1"/>
  </r>
  <r>
    <x v="215"/>
    <x v="76"/>
    <x v="146"/>
    <x v="0"/>
    <n v="34"/>
    <x v="2"/>
    <x v="1"/>
    <n v="50"/>
    <n v="100"/>
    <x v="2"/>
    <n v="3"/>
    <n v="2025"/>
    <x v="0"/>
  </r>
  <r>
    <x v="216"/>
    <x v="76"/>
    <x v="147"/>
    <x v="1"/>
    <n v="43"/>
    <x v="2"/>
    <x v="3"/>
    <n v="50"/>
    <n v="200"/>
    <x v="2"/>
    <n v="3"/>
    <n v="2025"/>
    <x v="2"/>
  </r>
  <r>
    <x v="217"/>
    <x v="76"/>
    <x v="148"/>
    <x v="0"/>
    <n v="53"/>
    <x v="0"/>
    <x v="0"/>
    <n v="30"/>
    <n v="90"/>
    <x v="2"/>
    <n v="3"/>
    <n v="2025"/>
    <x v="1"/>
  </r>
  <r>
    <x v="218"/>
    <x v="76"/>
    <x v="149"/>
    <x v="0"/>
    <n v="18"/>
    <x v="2"/>
    <x v="0"/>
    <n v="30"/>
    <n v="90"/>
    <x v="2"/>
    <n v="3"/>
    <n v="2025"/>
    <x v="3"/>
  </r>
  <r>
    <x v="219"/>
    <x v="77"/>
    <x v="150"/>
    <x v="1"/>
    <n v="25"/>
    <x v="0"/>
    <x v="2"/>
    <n v="500"/>
    <n v="500"/>
    <x v="2"/>
    <n v="3"/>
    <n v="2025"/>
    <x v="3"/>
  </r>
  <r>
    <x v="220"/>
    <x v="77"/>
    <x v="151"/>
    <x v="1"/>
    <n v="52"/>
    <x v="0"/>
    <x v="1"/>
    <n v="300"/>
    <n v="600"/>
    <x v="2"/>
    <n v="3"/>
    <n v="2025"/>
    <x v="1"/>
  </r>
  <r>
    <x v="221"/>
    <x v="78"/>
    <x v="152"/>
    <x v="0"/>
    <n v="32"/>
    <x v="1"/>
    <x v="3"/>
    <n v="30"/>
    <n v="120"/>
    <x v="2"/>
    <n v="3"/>
    <n v="2025"/>
    <x v="0"/>
  </r>
  <r>
    <x v="222"/>
    <x v="78"/>
    <x v="153"/>
    <x v="0"/>
    <n v="64"/>
    <x v="1"/>
    <x v="2"/>
    <n v="25"/>
    <n v="25"/>
    <x v="2"/>
    <n v="3"/>
    <n v="2025"/>
    <x v="1"/>
  </r>
  <r>
    <x v="223"/>
    <x v="78"/>
    <x v="154"/>
    <x v="1"/>
    <n v="39"/>
    <x v="1"/>
    <x v="2"/>
    <n v="50"/>
    <n v="50"/>
    <x v="2"/>
    <n v="3"/>
    <n v="2025"/>
    <x v="2"/>
  </r>
  <r>
    <x v="224"/>
    <x v="78"/>
    <x v="155"/>
    <x v="1"/>
    <n v="31"/>
    <x v="0"/>
    <x v="3"/>
    <n v="25"/>
    <n v="100"/>
    <x v="2"/>
    <n v="3"/>
    <n v="2025"/>
    <x v="0"/>
  </r>
  <r>
    <x v="225"/>
    <x v="79"/>
    <x v="156"/>
    <x v="1"/>
    <n v="43"/>
    <x v="1"/>
    <x v="2"/>
    <n v="50"/>
    <n v="50"/>
    <x v="2"/>
    <n v="3"/>
    <n v="2025"/>
    <x v="2"/>
  </r>
  <r>
    <x v="226"/>
    <x v="79"/>
    <x v="157"/>
    <x v="0"/>
    <n v="45"/>
    <x v="2"/>
    <x v="1"/>
    <n v="50"/>
    <n v="100"/>
    <x v="2"/>
    <n v="3"/>
    <n v="2025"/>
    <x v="2"/>
  </r>
  <r>
    <x v="227"/>
    <x v="79"/>
    <x v="158"/>
    <x v="0"/>
    <n v="40"/>
    <x v="2"/>
    <x v="1"/>
    <n v="30"/>
    <n v="60"/>
    <x v="2"/>
    <n v="3"/>
    <n v="2025"/>
    <x v="2"/>
  </r>
  <r>
    <x v="228"/>
    <x v="80"/>
    <x v="159"/>
    <x v="0"/>
    <n v="31"/>
    <x v="0"/>
    <x v="0"/>
    <n v="30"/>
    <n v="90"/>
    <x v="2"/>
    <n v="3"/>
    <n v="2025"/>
    <x v="0"/>
  </r>
  <r>
    <x v="229"/>
    <x v="80"/>
    <x v="160"/>
    <x v="0"/>
    <n v="41"/>
    <x v="0"/>
    <x v="2"/>
    <n v="25"/>
    <n v="25"/>
    <x v="2"/>
    <n v="3"/>
    <n v="2025"/>
    <x v="2"/>
  </r>
  <r>
    <x v="230"/>
    <x v="81"/>
    <x v="161"/>
    <x v="0"/>
    <n v="19"/>
    <x v="1"/>
    <x v="0"/>
    <n v="50"/>
    <n v="150"/>
    <x v="2"/>
    <n v="3"/>
    <n v="2025"/>
    <x v="3"/>
  </r>
  <r>
    <x v="231"/>
    <x v="82"/>
    <x v="162"/>
    <x v="0"/>
    <n v="62"/>
    <x v="0"/>
    <x v="2"/>
    <n v="25"/>
    <n v="25"/>
    <x v="2"/>
    <n v="3"/>
    <n v="2025"/>
    <x v="1"/>
  </r>
  <r>
    <x v="232"/>
    <x v="83"/>
    <x v="163"/>
    <x v="1"/>
    <n v="43"/>
    <x v="0"/>
    <x v="1"/>
    <n v="300"/>
    <n v="600"/>
    <x v="2"/>
    <n v="3"/>
    <n v="2025"/>
    <x v="2"/>
  </r>
  <r>
    <x v="233"/>
    <x v="84"/>
    <x v="164"/>
    <x v="0"/>
    <n v="31"/>
    <x v="2"/>
    <x v="1"/>
    <n v="25"/>
    <n v="50"/>
    <x v="2"/>
    <n v="3"/>
    <n v="2025"/>
    <x v="0"/>
  </r>
  <r>
    <x v="234"/>
    <x v="85"/>
    <x v="165"/>
    <x v="0"/>
    <n v="24"/>
    <x v="2"/>
    <x v="1"/>
    <n v="500"/>
    <n v="1000"/>
    <x v="3"/>
    <n v="4"/>
    <n v="2025"/>
    <x v="3"/>
  </r>
  <r>
    <x v="235"/>
    <x v="85"/>
    <x v="166"/>
    <x v="0"/>
    <n v="20"/>
    <x v="1"/>
    <x v="2"/>
    <n v="25"/>
    <n v="25"/>
    <x v="3"/>
    <n v="4"/>
    <n v="2025"/>
    <x v="3"/>
  </r>
  <r>
    <x v="236"/>
    <x v="85"/>
    <x v="167"/>
    <x v="1"/>
    <n v="64"/>
    <x v="0"/>
    <x v="1"/>
    <n v="500"/>
    <n v="1000"/>
    <x v="3"/>
    <n v="4"/>
    <n v="2025"/>
    <x v="1"/>
  </r>
  <r>
    <x v="237"/>
    <x v="86"/>
    <x v="168"/>
    <x v="0"/>
    <n v="40"/>
    <x v="0"/>
    <x v="2"/>
    <n v="500"/>
    <n v="500"/>
    <x v="3"/>
    <n v="4"/>
    <n v="2025"/>
    <x v="2"/>
  </r>
  <r>
    <x v="238"/>
    <x v="86"/>
    <x v="169"/>
    <x v="0"/>
    <n v="63"/>
    <x v="2"/>
    <x v="0"/>
    <n v="500"/>
    <n v="1500"/>
    <x v="3"/>
    <n v="4"/>
    <n v="2025"/>
    <x v="1"/>
  </r>
  <r>
    <x v="239"/>
    <x v="86"/>
    <x v="170"/>
    <x v="1"/>
    <n v="60"/>
    <x v="0"/>
    <x v="2"/>
    <n v="300"/>
    <n v="300"/>
    <x v="3"/>
    <n v="4"/>
    <n v="2025"/>
    <x v="1"/>
  </r>
  <r>
    <x v="240"/>
    <x v="86"/>
    <x v="171"/>
    <x v="0"/>
    <n v="64"/>
    <x v="2"/>
    <x v="0"/>
    <n v="25"/>
    <n v="75"/>
    <x v="3"/>
    <n v="4"/>
    <n v="2025"/>
    <x v="1"/>
  </r>
  <r>
    <x v="241"/>
    <x v="87"/>
    <x v="172"/>
    <x v="0"/>
    <n v="62"/>
    <x v="1"/>
    <x v="2"/>
    <n v="25"/>
    <n v="25"/>
    <x v="3"/>
    <n v="4"/>
    <n v="2025"/>
    <x v="1"/>
  </r>
  <r>
    <x v="242"/>
    <x v="87"/>
    <x v="173"/>
    <x v="0"/>
    <n v="35"/>
    <x v="2"/>
    <x v="0"/>
    <n v="300"/>
    <n v="900"/>
    <x v="3"/>
    <n v="4"/>
    <n v="2025"/>
    <x v="0"/>
  </r>
  <r>
    <x v="243"/>
    <x v="87"/>
    <x v="174"/>
    <x v="0"/>
    <n v="55"/>
    <x v="0"/>
    <x v="1"/>
    <n v="50"/>
    <n v="100"/>
    <x v="3"/>
    <n v="4"/>
    <n v="2025"/>
    <x v="1"/>
  </r>
  <r>
    <x v="244"/>
    <x v="88"/>
    <x v="175"/>
    <x v="0"/>
    <n v="52"/>
    <x v="1"/>
    <x v="0"/>
    <n v="30"/>
    <n v="90"/>
    <x v="3"/>
    <n v="4"/>
    <n v="2025"/>
    <x v="1"/>
  </r>
  <r>
    <x v="245"/>
    <x v="88"/>
    <x v="176"/>
    <x v="1"/>
    <n v="32"/>
    <x v="2"/>
    <x v="1"/>
    <n v="25"/>
    <n v="50"/>
    <x v="3"/>
    <n v="4"/>
    <n v="2025"/>
    <x v="0"/>
  </r>
  <r>
    <x v="246"/>
    <x v="89"/>
    <x v="177"/>
    <x v="1"/>
    <n v="42"/>
    <x v="2"/>
    <x v="1"/>
    <n v="30"/>
    <n v="60"/>
    <x v="3"/>
    <n v="4"/>
    <n v="2025"/>
    <x v="2"/>
  </r>
  <r>
    <x v="247"/>
    <x v="90"/>
    <x v="178"/>
    <x v="1"/>
    <n v="54"/>
    <x v="1"/>
    <x v="0"/>
    <n v="300"/>
    <n v="900"/>
    <x v="3"/>
    <n v="4"/>
    <n v="2025"/>
    <x v="1"/>
  </r>
  <r>
    <x v="248"/>
    <x v="90"/>
    <x v="179"/>
    <x v="0"/>
    <n v="45"/>
    <x v="1"/>
    <x v="2"/>
    <n v="50"/>
    <n v="50"/>
    <x v="3"/>
    <n v="4"/>
    <n v="2025"/>
    <x v="2"/>
  </r>
  <r>
    <x v="249"/>
    <x v="90"/>
    <x v="180"/>
    <x v="0"/>
    <n v="27"/>
    <x v="2"/>
    <x v="2"/>
    <n v="50"/>
    <n v="50"/>
    <x v="3"/>
    <n v="4"/>
    <n v="2025"/>
    <x v="0"/>
  </r>
  <r>
    <x v="250"/>
    <x v="90"/>
    <x v="14"/>
    <x v="0"/>
    <n v="56"/>
    <x v="0"/>
    <x v="3"/>
    <n v="50"/>
    <n v="200"/>
    <x v="3"/>
    <n v="4"/>
    <n v="2025"/>
    <x v="1"/>
  </r>
  <r>
    <x v="251"/>
    <x v="90"/>
    <x v="181"/>
    <x v="1"/>
    <n v="34"/>
    <x v="2"/>
    <x v="2"/>
    <n v="300"/>
    <n v="300"/>
    <x v="3"/>
    <n v="4"/>
    <n v="2025"/>
    <x v="0"/>
  </r>
  <r>
    <x v="252"/>
    <x v="91"/>
    <x v="108"/>
    <x v="0"/>
    <n v="56"/>
    <x v="1"/>
    <x v="3"/>
    <n v="500"/>
    <n v="2000"/>
    <x v="3"/>
    <n v="4"/>
    <n v="2025"/>
    <x v="1"/>
  </r>
  <r>
    <x v="253"/>
    <x v="91"/>
    <x v="25"/>
    <x v="0"/>
    <n v="39"/>
    <x v="2"/>
    <x v="2"/>
    <n v="500"/>
    <n v="500"/>
    <x v="3"/>
    <n v="4"/>
    <n v="2025"/>
    <x v="2"/>
  </r>
  <r>
    <x v="254"/>
    <x v="91"/>
    <x v="182"/>
    <x v="1"/>
    <n v="43"/>
    <x v="1"/>
    <x v="2"/>
    <n v="30"/>
    <n v="30"/>
    <x v="3"/>
    <n v="4"/>
    <n v="2025"/>
    <x v="2"/>
  </r>
  <r>
    <x v="255"/>
    <x v="91"/>
    <x v="183"/>
    <x v="0"/>
    <n v="61"/>
    <x v="1"/>
    <x v="1"/>
    <n v="500"/>
    <n v="1000"/>
    <x v="3"/>
    <n v="4"/>
    <n v="2025"/>
    <x v="1"/>
  </r>
  <r>
    <x v="256"/>
    <x v="91"/>
    <x v="12"/>
    <x v="1"/>
    <n v="42"/>
    <x v="0"/>
    <x v="3"/>
    <n v="500"/>
    <n v="2000"/>
    <x v="3"/>
    <n v="4"/>
    <n v="2025"/>
    <x v="2"/>
  </r>
  <r>
    <x v="257"/>
    <x v="91"/>
    <x v="184"/>
    <x v="1"/>
    <n v="34"/>
    <x v="1"/>
    <x v="4"/>
    <n v="50"/>
    <n v="300"/>
    <x v="3"/>
    <n v="4"/>
    <n v="2025"/>
    <x v="0"/>
  </r>
  <r>
    <x v="258"/>
    <x v="92"/>
    <x v="48"/>
    <x v="1"/>
    <n v="30"/>
    <x v="1"/>
    <x v="3"/>
    <n v="50"/>
    <n v="200"/>
    <x v="3"/>
    <n v="4"/>
    <n v="2025"/>
    <x v="0"/>
  </r>
  <r>
    <x v="259"/>
    <x v="92"/>
    <x v="185"/>
    <x v="0"/>
    <n v="37"/>
    <x v="0"/>
    <x v="1"/>
    <n v="30"/>
    <n v="60"/>
    <x v="3"/>
    <n v="4"/>
    <n v="2025"/>
    <x v="2"/>
  </r>
  <r>
    <x v="260"/>
    <x v="93"/>
    <x v="25"/>
    <x v="0"/>
    <n v="42"/>
    <x v="1"/>
    <x v="1"/>
    <n v="25"/>
    <n v="50"/>
    <x v="3"/>
    <n v="4"/>
    <n v="2025"/>
    <x v="2"/>
  </r>
  <r>
    <x v="261"/>
    <x v="94"/>
    <x v="186"/>
    <x v="0"/>
    <n v="21"/>
    <x v="0"/>
    <x v="3"/>
    <n v="30"/>
    <n v="120"/>
    <x v="3"/>
    <n v="4"/>
    <n v="2025"/>
    <x v="3"/>
  </r>
  <r>
    <x v="262"/>
    <x v="94"/>
    <x v="28"/>
    <x v="0"/>
    <n v="27"/>
    <x v="0"/>
    <x v="1"/>
    <n v="30"/>
    <n v="60"/>
    <x v="3"/>
    <n v="4"/>
    <n v="2025"/>
    <x v="0"/>
  </r>
  <r>
    <x v="263"/>
    <x v="94"/>
    <x v="187"/>
    <x v="0"/>
    <n v="20"/>
    <x v="1"/>
    <x v="0"/>
    <n v="300"/>
    <n v="900"/>
    <x v="3"/>
    <n v="4"/>
    <n v="2025"/>
    <x v="3"/>
  </r>
  <r>
    <x v="264"/>
    <x v="94"/>
    <x v="30"/>
    <x v="0"/>
    <n v="58"/>
    <x v="1"/>
    <x v="0"/>
    <n v="300"/>
    <n v="900"/>
    <x v="3"/>
    <n v="4"/>
    <n v="2025"/>
    <x v="1"/>
  </r>
  <r>
    <x v="265"/>
    <x v="94"/>
    <x v="188"/>
    <x v="0"/>
    <n v="62"/>
    <x v="2"/>
    <x v="1"/>
    <n v="30"/>
    <n v="60"/>
    <x v="3"/>
    <n v="4"/>
    <n v="2025"/>
    <x v="1"/>
  </r>
  <r>
    <x v="266"/>
    <x v="95"/>
    <x v="32"/>
    <x v="1"/>
    <n v="35"/>
    <x v="0"/>
    <x v="0"/>
    <n v="30"/>
    <n v="90"/>
    <x v="3"/>
    <n v="4"/>
    <n v="2025"/>
    <x v="0"/>
  </r>
  <r>
    <x v="267"/>
    <x v="95"/>
    <x v="189"/>
    <x v="0"/>
    <n v="64"/>
    <x v="2"/>
    <x v="2"/>
    <n v="30"/>
    <n v="30"/>
    <x v="3"/>
    <n v="4"/>
    <n v="2025"/>
    <x v="1"/>
  </r>
  <r>
    <x v="268"/>
    <x v="95"/>
    <x v="62"/>
    <x v="1"/>
    <n v="53"/>
    <x v="1"/>
    <x v="3"/>
    <n v="500"/>
    <n v="2000"/>
    <x v="3"/>
    <n v="4"/>
    <n v="2025"/>
    <x v="1"/>
  </r>
  <r>
    <x v="269"/>
    <x v="96"/>
    <x v="190"/>
    <x v="0"/>
    <n v="64"/>
    <x v="2"/>
    <x v="2"/>
    <n v="300"/>
    <n v="300"/>
    <x v="3"/>
    <n v="4"/>
    <n v="2025"/>
    <x v="1"/>
  </r>
  <r>
    <x v="270"/>
    <x v="96"/>
    <x v="32"/>
    <x v="0"/>
    <n v="39"/>
    <x v="0"/>
    <x v="3"/>
    <n v="30"/>
    <n v="120"/>
    <x v="3"/>
    <n v="4"/>
    <n v="2025"/>
    <x v="2"/>
  </r>
  <r>
    <x v="271"/>
    <x v="97"/>
    <x v="191"/>
    <x v="0"/>
    <n v="51"/>
    <x v="2"/>
    <x v="1"/>
    <n v="50"/>
    <n v="100"/>
    <x v="3"/>
    <n v="4"/>
    <n v="2025"/>
    <x v="1"/>
  </r>
  <r>
    <x v="272"/>
    <x v="98"/>
    <x v="17"/>
    <x v="1"/>
    <n v="64"/>
    <x v="0"/>
    <x v="2"/>
    <n v="50"/>
    <n v="50"/>
    <x v="3"/>
    <n v="4"/>
    <n v="2025"/>
    <x v="1"/>
  </r>
  <r>
    <x v="273"/>
    <x v="99"/>
    <x v="192"/>
    <x v="1"/>
    <n v="25"/>
    <x v="1"/>
    <x v="1"/>
    <n v="500"/>
    <n v="1000"/>
    <x v="3"/>
    <n v="4"/>
    <n v="2025"/>
    <x v="3"/>
  </r>
  <r>
    <x v="274"/>
    <x v="99"/>
    <x v="193"/>
    <x v="1"/>
    <n v="57"/>
    <x v="1"/>
    <x v="1"/>
    <n v="500"/>
    <n v="1000"/>
    <x v="3"/>
    <n v="4"/>
    <n v="2025"/>
    <x v="1"/>
  </r>
  <r>
    <x v="275"/>
    <x v="99"/>
    <x v="194"/>
    <x v="1"/>
    <n v="61"/>
    <x v="0"/>
    <x v="3"/>
    <n v="25"/>
    <n v="100"/>
    <x v="3"/>
    <n v="4"/>
    <n v="2025"/>
    <x v="1"/>
  </r>
  <r>
    <x v="276"/>
    <x v="99"/>
    <x v="195"/>
    <x v="0"/>
    <n v="36"/>
    <x v="1"/>
    <x v="3"/>
    <n v="25"/>
    <n v="100"/>
    <x v="3"/>
    <n v="4"/>
    <n v="2025"/>
    <x v="2"/>
  </r>
  <r>
    <x v="277"/>
    <x v="100"/>
    <x v="196"/>
    <x v="1"/>
    <n v="59"/>
    <x v="1"/>
    <x v="3"/>
    <n v="25"/>
    <n v="100"/>
    <x v="3"/>
    <n v="4"/>
    <n v="2025"/>
    <x v="1"/>
  </r>
  <r>
    <x v="278"/>
    <x v="100"/>
    <x v="75"/>
    <x v="0"/>
    <n v="58"/>
    <x v="1"/>
    <x v="2"/>
    <n v="500"/>
    <n v="500"/>
    <x v="3"/>
    <n v="4"/>
    <n v="2025"/>
    <x v="1"/>
  </r>
  <r>
    <x v="279"/>
    <x v="100"/>
    <x v="197"/>
    <x v="0"/>
    <n v="54"/>
    <x v="1"/>
    <x v="0"/>
    <n v="500"/>
    <n v="1500"/>
    <x v="3"/>
    <n v="4"/>
    <n v="2025"/>
    <x v="1"/>
  </r>
  <r>
    <x v="280"/>
    <x v="100"/>
    <x v="138"/>
    <x v="1"/>
    <n v="23"/>
    <x v="0"/>
    <x v="3"/>
    <n v="500"/>
    <n v="2000"/>
    <x v="3"/>
    <n v="4"/>
    <n v="2025"/>
    <x v="3"/>
  </r>
  <r>
    <x v="281"/>
    <x v="100"/>
    <x v="198"/>
    <x v="1"/>
    <n v="43"/>
    <x v="2"/>
    <x v="3"/>
    <n v="50"/>
    <n v="200"/>
    <x v="3"/>
    <n v="4"/>
    <n v="2025"/>
    <x v="2"/>
  </r>
  <r>
    <x v="282"/>
    <x v="100"/>
    <x v="199"/>
    <x v="1"/>
    <n v="51"/>
    <x v="2"/>
    <x v="2"/>
    <n v="500"/>
    <n v="500"/>
    <x v="3"/>
    <n v="4"/>
    <n v="2025"/>
    <x v="1"/>
  </r>
  <r>
    <x v="283"/>
    <x v="101"/>
    <x v="12"/>
    <x v="1"/>
    <n v="62"/>
    <x v="1"/>
    <x v="3"/>
    <n v="50"/>
    <n v="200"/>
    <x v="3"/>
    <n v="4"/>
    <n v="2025"/>
    <x v="1"/>
  </r>
  <r>
    <x v="284"/>
    <x v="101"/>
    <x v="200"/>
    <x v="1"/>
    <n v="23"/>
    <x v="2"/>
    <x v="2"/>
    <n v="25"/>
    <n v="25"/>
    <x v="3"/>
    <n v="4"/>
    <n v="2025"/>
    <x v="3"/>
  </r>
  <r>
    <x v="285"/>
    <x v="101"/>
    <x v="112"/>
    <x v="1"/>
    <n v="54"/>
    <x v="2"/>
    <x v="1"/>
    <n v="25"/>
    <n v="50"/>
    <x v="3"/>
    <n v="4"/>
    <n v="2025"/>
    <x v="1"/>
  </r>
  <r>
    <x v="286"/>
    <x v="101"/>
    <x v="201"/>
    <x v="1"/>
    <n v="50"/>
    <x v="1"/>
    <x v="3"/>
    <n v="25"/>
    <n v="100"/>
    <x v="3"/>
    <n v="4"/>
    <n v="2025"/>
    <x v="1"/>
  </r>
  <r>
    <x v="287"/>
    <x v="101"/>
    <x v="202"/>
    <x v="1"/>
    <n v="39"/>
    <x v="1"/>
    <x v="3"/>
    <n v="30"/>
    <n v="120"/>
    <x v="3"/>
    <n v="4"/>
    <n v="2025"/>
    <x v="2"/>
  </r>
  <r>
    <x v="288"/>
    <x v="102"/>
    <x v="203"/>
    <x v="0"/>
    <n v="38"/>
    <x v="2"/>
    <x v="1"/>
    <n v="30"/>
    <n v="60"/>
    <x v="3"/>
    <n v="4"/>
    <n v="2025"/>
    <x v="2"/>
  </r>
  <r>
    <x v="289"/>
    <x v="102"/>
    <x v="204"/>
    <x v="1"/>
    <n v="23"/>
    <x v="0"/>
    <x v="1"/>
    <n v="300"/>
    <n v="600"/>
    <x v="3"/>
    <n v="4"/>
    <n v="2025"/>
    <x v="3"/>
  </r>
  <r>
    <x v="290"/>
    <x v="103"/>
    <x v="202"/>
    <x v="1"/>
    <n v="23"/>
    <x v="1"/>
    <x v="1"/>
    <n v="300"/>
    <n v="600"/>
    <x v="3"/>
    <n v="4"/>
    <n v="2025"/>
    <x v="3"/>
  </r>
  <r>
    <x v="291"/>
    <x v="103"/>
    <x v="205"/>
    <x v="0"/>
    <n v="21"/>
    <x v="0"/>
    <x v="3"/>
    <n v="300"/>
    <n v="1200"/>
    <x v="3"/>
    <n v="4"/>
    <n v="2025"/>
    <x v="3"/>
  </r>
  <r>
    <x v="292"/>
    <x v="103"/>
    <x v="206"/>
    <x v="1"/>
    <n v="47"/>
    <x v="2"/>
    <x v="0"/>
    <n v="30"/>
    <n v="90"/>
    <x v="3"/>
    <n v="4"/>
    <n v="2025"/>
    <x v="1"/>
  </r>
  <r>
    <x v="293"/>
    <x v="104"/>
    <x v="207"/>
    <x v="0"/>
    <n v="28"/>
    <x v="1"/>
    <x v="0"/>
    <n v="30"/>
    <n v="90"/>
    <x v="3"/>
    <n v="4"/>
    <n v="2025"/>
    <x v="0"/>
  </r>
  <r>
    <x v="294"/>
    <x v="104"/>
    <x v="208"/>
    <x v="0"/>
    <n v="47"/>
    <x v="0"/>
    <x v="0"/>
    <n v="300"/>
    <n v="900"/>
    <x v="3"/>
    <n v="4"/>
    <n v="2025"/>
    <x v="1"/>
  </r>
  <r>
    <x v="295"/>
    <x v="104"/>
    <x v="209"/>
    <x v="1"/>
    <n v="48"/>
    <x v="1"/>
    <x v="3"/>
    <n v="300"/>
    <n v="1200"/>
    <x v="3"/>
    <n v="4"/>
    <n v="2025"/>
    <x v="1"/>
  </r>
  <r>
    <x v="296"/>
    <x v="104"/>
    <x v="210"/>
    <x v="0"/>
    <n v="41"/>
    <x v="2"/>
    <x v="1"/>
    <n v="500"/>
    <n v="1000"/>
    <x v="3"/>
    <n v="4"/>
    <n v="2025"/>
    <x v="2"/>
  </r>
  <r>
    <x v="297"/>
    <x v="104"/>
    <x v="28"/>
    <x v="0"/>
    <n v="26"/>
    <x v="0"/>
    <x v="3"/>
    <n v="300"/>
    <n v="1200"/>
    <x v="3"/>
    <n v="4"/>
    <n v="2025"/>
    <x v="0"/>
  </r>
  <r>
    <x v="298"/>
    <x v="104"/>
    <x v="211"/>
    <x v="0"/>
    <n v="20"/>
    <x v="2"/>
    <x v="1"/>
    <n v="500"/>
    <n v="1000"/>
    <x v="3"/>
    <n v="4"/>
    <n v="2025"/>
    <x v="3"/>
  </r>
  <r>
    <x v="299"/>
    <x v="104"/>
    <x v="113"/>
    <x v="0"/>
    <n v="48"/>
    <x v="2"/>
    <x v="3"/>
    <n v="50"/>
    <n v="200"/>
    <x v="3"/>
    <n v="4"/>
    <n v="2025"/>
    <x v="1"/>
  </r>
  <r>
    <x v="300"/>
    <x v="105"/>
    <x v="212"/>
    <x v="1"/>
    <n v="57"/>
    <x v="1"/>
    <x v="3"/>
    <n v="30"/>
    <n v="120"/>
    <x v="3"/>
    <n v="4"/>
    <n v="2025"/>
    <x v="1"/>
  </r>
  <r>
    <x v="301"/>
    <x v="105"/>
    <x v="211"/>
    <x v="0"/>
    <n v="54"/>
    <x v="0"/>
    <x v="1"/>
    <n v="300"/>
    <n v="600"/>
    <x v="3"/>
    <n v="4"/>
    <n v="2025"/>
    <x v="1"/>
  </r>
  <r>
    <x v="302"/>
    <x v="106"/>
    <x v="213"/>
    <x v="1"/>
    <n v="53"/>
    <x v="2"/>
    <x v="0"/>
    <n v="30"/>
    <n v="90"/>
    <x v="3"/>
    <n v="4"/>
    <n v="2025"/>
    <x v="1"/>
  </r>
  <r>
    <x v="303"/>
    <x v="106"/>
    <x v="214"/>
    <x v="0"/>
    <n v="41"/>
    <x v="2"/>
    <x v="1"/>
    <n v="30"/>
    <n v="60"/>
    <x v="3"/>
    <n v="4"/>
    <n v="2025"/>
    <x v="2"/>
  </r>
  <r>
    <x v="304"/>
    <x v="106"/>
    <x v="215"/>
    <x v="0"/>
    <n v="48"/>
    <x v="0"/>
    <x v="2"/>
    <n v="30"/>
    <n v="30"/>
    <x v="3"/>
    <n v="4"/>
    <n v="2025"/>
    <x v="1"/>
  </r>
  <r>
    <x v="305"/>
    <x v="107"/>
    <x v="216"/>
    <x v="0"/>
    <n v="23"/>
    <x v="2"/>
    <x v="2"/>
    <n v="50"/>
    <n v="50"/>
    <x v="3"/>
    <n v="4"/>
    <n v="2025"/>
    <x v="3"/>
  </r>
  <r>
    <x v="306"/>
    <x v="107"/>
    <x v="217"/>
    <x v="0"/>
    <n v="19"/>
    <x v="2"/>
    <x v="1"/>
    <n v="25"/>
    <n v="50"/>
    <x v="3"/>
    <n v="4"/>
    <n v="2025"/>
    <x v="3"/>
  </r>
  <r>
    <x v="307"/>
    <x v="107"/>
    <x v="218"/>
    <x v="1"/>
    <n v="37"/>
    <x v="0"/>
    <x v="3"/>
    <n v="300"/>
    <n v="1200"/>
    <x v="3"/>
    <n v="4"/>
    <n v="2025"/>
    <x v="2"/>
  </r>
  <r>
    <x v="308"/>
    <x v="108"/>
    <x v="219"/>
    <x v="1"/>
    <n v="45"/>
    <x v="0"/>
    <x v="2"/>
    <n v="25"/>
    <n v="25"/>
    <x v="3"/>
    <n v="4"/>
    <n v="2025"/>
    <x v="2"/>
  </r>
  <r>
    <x v="309"/>
    <x v="108"/>
    <x v="220"/>
    <x v="0"/>
    <n v="28"/>
    <x v="0"/>
    <x v="2"/>
    <n v="25"/>
    <n v="25"/>
    <x v="3"/>
    <n v="4"/>
    <n v="2025"/>
    <x v="0"/>
  </r>
  <r>
    <x v="310"/>
    <x v="108"/>
    <x v="17"/>
    <x v="0"/>
    <n v="21"/>
    <x v="0"/>
    <x v="3"/>
    <n v="25"/>
    <n v="100"/>
    <x v="3"/>
    <n v="4"/>
    <n v="2025"/>
    <x v="3"/>
  </r>
  <r>
    <x v="311"/>
    <x v="109"/>
    <x v="221"/>
    <x v="1"/>
    <n v="32"/>
    <x v="1"/>
    <x v="3"/>
    <n v="30"/>
    <n v="120"/>
    <x v="3"/>
    <n v="4"/>
    <n v="2025"/>
    <x v="0"/>
  </r>
  <r>
    <x v="312"/>
    <x v="109"/>
    <x v="110"/>
    <x v="0"/>
    <n v="23"/>
    <x v="0"/>
    <x v="0"/>
    <n v="500"/>
    <n v="1500"/>
    <x v="3"/>
    <n v="4"/>
    <n v="2025"/>
    <x v="3"/>
  </r>
  <r>
    <x v="313"/>
    <x v="109"/>
    <x v="222"/>
    <x v="0"/>
    <n v="47"/>
    <x v="1"/>
    <x v="3"/>
    <n v="30"/>
    <n v="120"/>
    <x v="3"/>
    <n v="4"/>
    <n v="2025"/>
    <x v="1"/>
  </r>
  <r>
    <x v="314"/>
    <x v="110"/>
    <x v="112"/>
    <x v="0"/>
    <n v="55"/>
    <x v="1"/>
    <x v="1"/>
    <n v="30"/>
    <n v="60"/>
    <x v="3"/>
    <n v="4"/>
    <n v="2025"/>
    <x v="1"/>
  </r>
  <r>
    <x v="315"/>
    <x v="110"/>
    <x v="223"/>
    <x v="1"/>
    <n v="19"/>
    <x v="1"/>
    <x v="1"/>
    <n v="25"/>
    <n v="50"/>
    <x v="3"/>
    <n v="4"/>
    <n v="2025"/>
    <x v="3"/>
  </r>
  <r>
    <x v="316"/>
    <x v="110"/>
    <x v="107"/>
    <x v="1"/>
    <n v="32"/>
    <x v="2"/>
    <x v="0"/>
    <n v="30"/>
    <n v="90"/>
    <x v="3"/>
    <n v="4"/>
    <n v="2025"/>
    <x v="0"/>
  </r>
  <r>
    <x v="317"/>
    <x v="111"/>
    <x v="224"/>
    <x v="1"/>
    <n v="28"/>
    <x v="1"/>
    <x v="2"/>
    <n v="25"/>
    <n v="25"/>
    <x v="3"/>
    <n v="4"/>
    <n v="2025"/>
    <x v="0"/>
  </r>
  <r>
    <x v="318"/>
    <x v="111"/>
    <x v="212"/>
    <x v="0"/>
    <n v="25"/>
    <x v="1"/>
    <x v="2"/>
    <n v="500"/>
    <n v="500"/>
    <x v="3"/>
    <n v="4"/>
    <n v="2025"/>
    <x v="3"/>
  </r>
  <r>
    <x v="319"/>
    <x v="111"/>
    <x v="225"/>
    <x v="0"/>
    <n v="43"/>
    <x v="2"/>
    <x v="3"/>
    <n v="300"/>
    <n v="1200"/>
    <x v="3"/>
    <n v="4"/>
    <n v="2025"/>
    <x v="2"/>
  </r>
  <r>
    <x v="320"/>
    <x v="112"/>
    <x v="226"/>
    <x v="1"/>
    <n v="62"/>
    <x v="2"/>
    <x v="1"/>
    <n v="25"/>
    <n v="50"/>
    <x v="4"/>
    <n v="5"/>
    <n v="2025"/>
    <x v="1"/>
  </r>
  <r>
    <x v="321"/>
    <x v="112"/>
    <x v="227"/>
    <x v="1"/>
    <n v="61"/>
    <x v="2"/>
    <x v="2"/>
    <n v="500"/>
    <n v="500"/>
    <x v="4"/>
    <n v="5"/>
    <n v="2025"/>
    <x v="1"/>
  </r>
  <r>
    <x v="322"/>
    <x v="112"/>
    <x v="228"/>
    <x v="1"/>
    <n v="22"/>
    <x v="0"/>
    <x v="0"/>
    <n v="300"/>
    <n v="900"/>
    <x v="4"/>
    <n v="5"/>
    <n v="2025"/>
    <x v="3"/>
  </r>
  <r>
    <x v="323"/>
    <x v="113"/>
    <x v="229"/>
    <x v="1"/>
    <n v="23"/>
    <x v="2"/>
    <x v="0"/>
    <n v="50"/>
    <n v="150"/>
    <x v="4"/>
    <n v="5"/>
    <n v="2025"/>
    <x v="3"/>
  </r>
  <r>
    <x v="324"/>
    <x v="113"/>
    <x v="230"/>
    <x v="0"/>
    <n v="43"/>
    <x v="2"/>
    <x v="1"/>
    <n v="25"/>
    <n v="50"/>
    <x v="4"/>
    <n v="5"/>
    <n v="2025"/>
    <x v="2"/>
  </r>
  <r>
    <x v="325"/>
    <x v="113"/>
    <x v="231"/>
    <x v="1"/>
    <n v="21"/>
    <x v="1"/>
    <x v="0"/>
    <n v="25"/>
    <n v="75"/>
    <x v="4"/>
    <n v="5"/>
    <n v="2025"/>
    <x v="3"/>
  </r>
  <r>
    <x v="326"/>
    <x v="114"/>
    <x v="232"/>
    <x v="0"/>
    <n v="36"/>
    <x v="2"/>
    <x v="0"/>
    <n v="50"/>
    <n v="150"/>
    <x v="4"/>
    <n v="5"/>
    <n v="2025"/>
    <x v="2"/>
  </r>
  <r>
    <x v="327"/>
    <x v="114"/>
    <x v="233"/>
    <x v="1"/>
    <n v="37"/>
    <x v="0"/>
    <x v="1"/>
    <n v="50"/>
    <n v="100"/>
    <x v="4"/>
    <n v="5"/>
    <n v="2025"/>
    <x v="2"/>
  </r>
  <r>
    <x v="328"/>
    <x v="114"/>
    <x v="234"/>
    <x v="0"/>
    <n v="50"/>
    <x v="2"/>
    <x v="3"/>
    <n v="25"/>
    <n v="100"/>
    <x v="4"/>
    <n v="5"/>
    <n v="2025"/>
    <x v="1"/>
  </r>
  <r>
    <x v="329"/>
    <x v="114"/>
    <x v="235"/>
    <x v="1"/>
    <n v="37"/>
    <x v="0"/>
    <x v="3"/>
    <n v="50"/>
    <n v="200"/>
    <x v="4"/>
    <n v="5"/>
    <n v="2025"/>
    <x v="2"/>
  </r>
  <r>
    <x v="330"/>
    <x v="114"/>
    <x v="236"/>
    <x v="1"/>
    <n v="29"/>
    <x v="2"/>
    <x v="0"/>
    <n v="30"/>
    <n v="90"/>
    <x v="4"/>
    <n v="5"/>
    <n v="2025"/>
    <x v="0"/>
  </r>
  <r>
    <x v="331"/>
    <x v="115"/>
    <x v="237"/>
    <x v="1"/>
    <n v="64"/>
    <x v="2"/>
    <x v="3"/>
    <n v="300"/>
    <n v="1200"/>
    <x v="4"/>
    <n v="5"/>
    <n v="2025"/>
    <x v="1"/>
  </r>
  <r>
    <x v="332"/>
    <x v="115"/>
    <x v="238"/>
    <x v="1"/>
    <n v="18"/>
    <x v="2"/>
    <x v="3"/>
    <n v="300"/>
    <n v="1200"/>
    <x v="4"/>
    <n v="5"/>
    <n v="2025"/>
    <x v="3"/>
  </r>
  <r>
    <x v="333"/>
    <x v="115"/>
    <x v="239"/>
    <x v="0"/>
    <n v="43"/>
    <x v="2"/>
    <x v="0"/>
    <n v="300"/>
    <n v="900"/>
    <x v="4"/>
    <n v="5"/>
    <n v="2025"/>
    <x v="2"/>
  </r>
  <r>
    <x v="334"/>
    <x v="116"/>
    <x v="240"/>
    <x v="1"/>
    <n v="31"/>
    <x v="0"/>
    <x v="3"/>
    <n v="30"/>
    <n v="120"/>
    <x v="4"/>
    <n v="5"/>
    <n v="2025"/>
    <x v="0"/>
  </r>
  <r>
    <x v="335"/>
    <x v="116"/>
    <x v="241"/>
    <x v="0"/>
    <n v="55"/>
    <x v="0"/>
    <x v="0"/>
    <n v="50"/>
    <n v="150"/>
    <x v="4"/>
    <n v="5"/>
    <n v="2025"/>
    <x v="1"/>
  </r>
  <r>
    <x v="336"/>
    <x v="116"/>
    <x v="242"/>
    <x v="0"/>
    <n v="54"/>
    <x v="1"/>
    <x v="2"/>
    <n v="500"/>
    <n v="500"/>
    <x v="4"/>
    <n v="5"/>
    <n v="2025"/>
    <x v="1"/>
  </r>
  <r>
    <x v="337"/>
    <x v="116"/>
    <x v="243"/>
    <x v="0"/>
    <n v="28"/>
    <x v="0"/>
    <x v="1"/>
    <n v="50"/>
    <n v="100"/>
    <x v="4"/>
    <n v="5"/>
    <n v="2025"/>
    <x v="0"/>
  </r>
  <r>
    <x v="338"/>
    <x v="116"/>
    <x v="244"/>
    <x v="0"/>
    <n v="53"/>
    <x v="2"/>
    <x v="1"/>
    <n v="25"/>
    <n v="50"/>
    <x v="4"/>
    <n v="5"/>
    <n v="2025"/>
    <x v="1"/>
  </r>
  <r>
    <x v="339"/>
    <x v="117"/>
    <x v="113"/>
    <x v="1"/>
    <n v="30"/>
    <x v="1"/>
    <x v="3"/>
    <n v="300"/>
    <n v="1200"/>
    <x v="4"/>
    <n v="5"/>
    <n v="2025"/>
    <x v="0"/>
  </r>
  <r>
    <x v="340"/>
    <x v="117"/>
    <x v="245"/>
    <x v="0"/>
    <n v="60"/>
    <x v="1"/>
    <x v="3"/>
    <n v="50"/>
    <n v="200"/>
    <x v="4"/>
    <n v="5"/>
    <n v="2025"/>
    <x v="1"/>
  </r>
  <r>
    <x v="341"/>
    <x v="117"/>
    <x v="107"/>
    <x v="0"/>
    <n v="20"/>
    <x v="1"/>
    <x v="3"/>
    <n v="500"/>
    <n v="2000"/>
    <x v="4"/>
    <n v="5"/>
    <n v="2025"/>
    <x v="3"/>
  </r>
  <r>
    <x v="342"/>
    <x v="117"/>
    <x v="246"/>
    <x v="0"/>
    <n v="50"/>
    <x v="2"/>
    <x v="1"/>
    <n v="25"/>
    <n v="50"/>
    <x v="4"/>
    <n v="5"/>
    <n v="2025"/>
    <x v="1"/>
  </r>
  <r>
    <x v="343"/>
    <x v="117"/>
    <x v="65"/>
    <x v="1"/>
    <n v="23"/>
    <x v="0"/>
    <x v="2"/>
    <n v="30"/>
    <n v="30"/>
    <x v="4"/>
    <n v="5"/>
    <n v="2025"/>
    <x v="3"/>
  </r>
  <r>
    <x v="344"/>
    <x v="118"/>
    <x v="247"/>
    <x v="1"/>
    <n v="27"/>
    <x v="2"/>
    <x v="2"/>
    <n v="30"/>
    <n v="30"/>
    <x v="4"/>
    <n v="5"/>
    <n v="2025"/>
    <x v="0"/>
  </r>
  <r>
    <x v="345"/>
    <x v="118"/>
    <x v="135"/>
    <x v="1"/>
    <n v="22"/>
    <x v="1"/>
    <x v="1"/>
    <n v="500"/>
    <n v="1000"/>
    <x v="4"/>
    <n v="5"/>
    <n v="2025"/>
    <x v="3"/>
  </r>
  <r>
    <x v="346"/>
    <x v="118"/>
    <x v="248"/>
    <x v="1"/>
    <n v="40"/>
    <x v="2"/>
    <x v="2"/>
    <n v="25"/>
    <n v="25"/>
    <x v="4"/>
    <n v="5"/>
    <n v="2025"/>
    <x v="2"/>
  </r>
  <r>
    <x v="347"/>
    <x v="118"/>
    <x v="184"/>
    <x v="0"/>
    <n v="27"/>
    <x v="2"/>
    <x v="1"/>
    <n v="300"/>
    <n v="600"/>
    <x v="4"/>
    <n v="5"/>
    <n v="2025"/>
    <x v="0"/>
  </r>
  <r>
    <x v="348"/>
    <x v="118"/>
    <x v="149"/>
    <x v="0"/>
    <n v="61"/>
    <x v="0"/>
    <x v="2"/>
    <n v="50"/>
    <n v="50"/>
    <x v="4"/>
    <n v="5"/>
    <n v="2025"/>
    <x v="1"/>
  </r>
  <r>
    <x v="349"/>
    <x v="119"/>
    <x v="2"/>
    <x v="1"/>
    <n v="19"/>
    <x v="0"/>
    <x v="0"/>
    <n v="25"/>
    <n v="75"/>
    <x v="4"/>
    <n v="5"/>
    <n v="2025"/>
    <x v="3"/>
  </r>
  <r>
    <x v="350"/>
    <x v="119"/>
    <x v="249"/>
    <x v="0"/>
    <n v="30"/>
    <x v="1"/>
    <x v="0"/>
    <n v="30"/>
    <n v="90"/>
    <x v="4"/>
    <n v="5"/>
    <n v="2025"/>
    <x v="0"/>
  </r>
  <r>
    <x v="351"/>
    <x v="119"/>
    <x v="112"/>
    <x v="0"/>
    <n v="57"/>
    <x v="2"/>
    <x v="1"/>
    <n v="500"/>
    <n v="1000"/>
    <x v="4"/>
    <n v="5"/>
    <n v="2025"/>
    <x v="1"/>
  </r>
  <r>
    <x v="352"/>
    <x v="119"/>
    <x v="151"/>
    <x v="0"/>
    <n v="19"/>
    <x v="2"/>
    <x v="2"/>
    <n v="500"/>
    <n v="500"/>
    <x v="4"/>
    <n v="5"/>
    <n v="2025"/>
    <x v="3"/>
  </r>
  <r>
    <x v="353"/>
    <x v="119"/>
    <x v="250"/>
    <x v="1"/>
    <n v="37"/>
    <x v="0"/>
    <x v="3"/>
    <n v="50"/>
    <n v="200"/>
    <x v="4"/>
    <n v="5"/>
    <n v="2025"/>
    <x v="2"/>
  </r>
  <r>
    <x v="354"/>
    <x v="119"/>
    <x v="48"/>
    <x v="1"/>
    <n v="18"/>
    <x v="2"/>
    <x v="2"/>
    <n v="500"/>
    <n v="500"/>
    <x v="4"/>
    <n v="5"/>
    <n v="2025"/>
    <x v="3"/>
  </r>
  <r>
    <x v="355"/>
    <x v="120"/>
    <x v="251"/>
    <x v="0"/>
    <n v="54"/>
    <x v="2"/>
    <x v="0"/>
    <n v="500"/>
    <n v="1500"/>
    <x v="4"/>
    <n v="5"/>
    <n v="2025"/>
    <x v="1"/>
  </r>
  <r>
    <x v="356"/>
    <x v="120"/>
    <x v="252"/>
    <x v="1"/>
    <n v="26"/>
    <x v="2"/>
    <x v="0"/>
    <n v="25"/>
    <n v="75"/>
    <x v="4"/>
    <n v="5"/>
    <n v="2025"/>
    <x v="0"/>
  </r>
  <r>
    <x v="357"/>
    <x v="120"/>
    <x v="253"/>
    <x v="1"/>
    <n v="34"/>
    <x v="0"/>
    <x v="2"/>
    <n v="300"/>
    <n v="300"/>
    <x v="4"/>
    <n v="5"/>
    <n v="2025"/>
    <x v="0"/>
  </r>
  <r>
    <x v="358"/>
    <x v="121"/>
    <x v="254"/>
    <x v="1"/>
    <n v="26"/>
    <x v="1"/>
    <x v="2"/>
    <n v="50"/>
    <n v="50"/>
    <x v="4"/>
    <n v="5"/>
    <n v="2025"/>
    <x v="0"/>
  </r>
  <r>
    <x v="359"/>
    <x v="121"/>
    <x v="255"/>
    <x v="1"/>
    <n v="28"/>
    <x v="1"/>
    <x v="3"/>
    <n v="25"/>
    <n v="100"/>
    <x v="4"/>
    <n v="5"/>
    <n v="2025"/>
    <x v="0"/>
  </r>
  <r>
    <x v="360"/>
    <x v="122"/>
    <x v="256"/>
    <x v="1"/>
    <n v="32"/>
    <x v="2"/>
    <x v="3"/>
    <n v="300"/>
    <n v="1200"/>
    <x v="4"/>
    <n v="5"/>
    <n v="2025"/>
    <x v="0"/>
  </r>
  <r>
    <x v="361"/>
    <x v="123"/>
    <x v="257"/>
    <x v="0"/>
    <n v="41"/>
    <x v="1"/>
    <x v="2"/>
    <n v="25"/>
    <n v="25"/>
    <x v="4"/>
    <n v="5"/>
    <n v="2025"/>
    <x v="2"/>
  </r>
  <r>
    <x v="362"/>
    <x v="124"/>
    <x v="258"/>
    <x v="1"/>
    <n v="55"/>
    <x v="0"/>
    <x v="5"/>
    <n v="25"/>
    <n v="175"/>
    <x v="4"/>
    <n v="5"/>
    <n v="2025"/>
    <x v="1"/>
  </r>
  <r>
    <x v="363"/>
    <x v="124"/>
    <x v="259"/>
    <x v="0"/>
    <n v="52"/>
    <x v="0"/>
    <x v="2"/>
    <n v="500"/>
    <n v="500"/>
    <x v="4"/>
    <n v="5"/>
    <n v="2025"/>
    <x v="1"/>
  </r>
  <r>
    <x v="364"/>
    <x v="125"/>
    <x v="260"/>
    <x v="0"/>
    <n v="47"/>
    <x v="1"/>
    <x v="2"/>
    <n v="300"/>
    <n v="300"/>
    <x v="4"/>
    <n v="5"/>
    <n v="2025"/>
    <x v="1"/>
  </r>
  <r>
    <x v="365"/>
    <x v="125"/>
    <x v="261"/>
    <x v="1"/>
    <n v="48"/>
    <x v="1"/>
    <x v="1"/>
    <n v="50"/>
    <n v="100"/>
    <x v="4"/>
    <n v="5"/>
    <n v="2025"/>
    <x v="1"/>
  </r>
  <r>
    <x v="366"/>
    <x v="125"/>
    <x v="112"/>
    <x v="0"/>
    <n v="28"/>
    <x v="2"/>
    <x v="2"/>
    <n v="50"/>
    <n v="50"/>
    <x v="4"/>
    <n v="5"/>
    <n v="2025"/>
    <x v="0"/>
  </r>
  <r>
    <x v="367"/>
    <x v="126"/>
    <x v="262"/>
    <x v="1"/>
    <n v="32"/>
    <x v="1"/>
    <x v="3"/>
    <n v="300"/>
    <n v="1200"/>
    <x v="4"/>
    <n v="5"/>
    <n v="2025"/>
    <x v="0"/>
  </r>
  <r>
    <x v="368"/>
    <x v="126"/>
    <x v="113"/>
    <x v="0"/>
    <n v="23"/>
    <x v="2"/>
    <x v="2"/>
    <n v="500"/>
    <n v="500"/>
    <x v="4"/>
    <n v="5"/>
    <n v="2025"/>
    <x v="3"/>
  </r>
  <r>
    <x v="369"/>
    <x v="126"/>
    <x v="263"/>
    <x v="1"/>
    <n v="32"/>
    <x v="2"/>
    <x v="1"/>
    <n v="30"/>
    <n v="60"/>
    <x v="4"/>
    <n v="5"/>
    <n v="2025"/>
    <x v="0"/>
  </r>
  <r>
    <x v="370"/>
    <x v="127"/>
    <x v="48"/>
    <x v="1"/>
    <n v="62"/>
    <x v="0"/>
    <x v="2"/>
    <n v="25"/>
    <n v="25"/>
    <x v="4"/>
    <n v="5"/>
    <n v="2025"/>
    <x v="1"/>
  </r>
  <r>
    <x v="371"/>
    <x v="127"/>
    <x v="264"/>
    <x v="1"/>
    <n v="22"/>
    <x v="0"/>
    <x v="0"/>
    <n v="500"/>
    <n v="1500"/>
    <x v="4"/>
    <n v="5"/>
    <n v="2025"/>
    <x v="3"/>
  </r>
  <r>
    <x v="372"/>
    <x v="127"/>
    <x v="117"/>
    <x v="1"/>
    <n v="21"/>
    <x v="0"/>
    <x v="1"/>
    <n v="300"/>
    <n v="600"/>
    <x v="4"/>
    <n v="5"/>
    <n v="2025"/>
    <x v="3"/>
  </r>
  <r>
    <x v="373"/>
    <x v="127"/>
    <x v="265"/>
    <x v="1"/>
    <n v="29"/>
    <x v="0"/>
    <x v="0"/>
    <n v="25"/>
    <n v="75"/>
    <x v="4"/>
    <n v="5"/>
    <n v="2025"/>
    <x v="0"/>
  </r>
  <r>
    <x v="374"/>
    <x v="127"/>
    <x v="62"/>
    <x v="1"/>
    <n v="30"/>
    <x v="1"/>
    <x v="2"/>
    <n v="50"/>
    <n v="50"/>
    <x v="4"/>
    <n v="5"/>
    <n v="2025"/>
    <x v="0"/>
  </r>
  <r>
    <x v="375"/>
    <x v="127"/>
    <x v="266"/>
    <x v="0"/>
    <n v="20"/>
    <x v="0"/>
    <x v="2"/>
    <n v="30"/>
    <n v="30"/>
    <x v="4"/>
    <n v="5"/>
    <n v="2025"/>
    <x v="3"/>
  </r>
  <r>
    <x v="376"/>
    <x v="127"/>
    <x v="140"/>
    <x v="1"/>
    <n v="27"/>
    <x v="1"/>
    <x v="3"/>
    <n v="50"/>
    <n v="200"/>
    <x v="4"/>
    <n v="5"/>
    <n v="2025"/>
    <x v="0"/>
  </r>
  <r>
    <x v="377"/>
    <x v="127"/>
    <x v="267"/>
    <x v="0"/>
    <n v="27"/>
    <x v="0"/>
    <x v="2"/>
    <n v="300"/>
    <n v="300"/>
    <x v="4"/>
    <n v="5"/>
    <n v="2025"/>
    <x v="0"/>
  </r>
  <r>
    <x v="378"/>
    <x v="127"/>
    <x v="141"/>
    <x v="0"/>
    <n v="57"/>
    <x v="1"/>
    <x v="2"/>
    <n v="25"/>
    <n v="25"/>
    <x v="4"/>
    <n v="5"/>
    <n v="2025"/>
    <x v="1"/>
  </r>
  <r>
    <x v="379"/>
    <x v="127"/>
    <x v="268"/>
    <x v="1"/>
    <n v="18"/>
    <x v="2"/>
    <x v="1"/>
    <n v="300"/>
    <n v="600"/>
    <x v="4"/>
    <n v="5"/>
    <n v="2025"/>
    <x v="3"/>
  </r>
  <r>
    <x v="380"/>
    <x v="127"/>
    <x v="143"/>
    <x v="1"/>
    <n v="34"/>
    <x v="1"/>
    <x v="3"/>
    <n v="25"/>
    <n v="100"/>
    <x v="4"/>
    <n v="5"/>
    <n v="2025"/>
    <x v="0"/>
  </r>
  <r>
    <x v="381"/>
    <x v="128"/>
    <x v="269"/>
    <x v="1"/>
    <n v="26"/>
    <x v="1"/>
    <x v="1"/>
    <n v="500"/>
    <n v="1000"/>
    <x v="4"/>
    <n v="5"/>
    <n v="2025"/>
    <x v="0"/>
  </r>
  <r>
    <x v="382"/>
    <x v="128"/>
    <x v="146"/>
    <x v="1"/>
    <n v="28"/>
    <x v="0"/>
    <x v="0"/>
    <n v="30"/>
    <n v="90"/>
    <x v="4"/>
    <n v="5"/>
    <n v="2025"/>
    <x v="0"/>
  </r>
  <r>
    <x v="383"/>
    <x v="128"/>
    <x v="270"/>
    <x v="1"/>
    <n v="32"/>
    <x v="1"/>
    <x v="6"/>
    <n v="500"/>
    <n v="2500"/>
    <x v="4"/>
    <n v="5"/>
    <n v="2025"/>
    <x v="0"/>
  </r>
  <r>
    <x v="384"/>
    <x v="129"/>
    <x v="149"/>
    <x v="1"/>
    <n v="55"/>
    <x v="2"/>
    <x v="0"/>
    <n v="500"/>
    <n v="1500"/>
    <x v="4"/>
    <n v="5"/>
    <n v="2025"/>
    <x v="1"/>
  </r>
  <r>
    <x v="385"/>
    <x v="129"/>
    <x v="271"/>
    <x v="1"/>
    <n v="29"/>
    <x v="2"/>
    <x v="1"/>
    <n v="300"/>
    <n v="600"/>
    <x v="4"/>
    <n v="5"/>
    <n v="2025"/>
    <x v="0"/>
  </r>
  <r>
    <x v="386"/>
    <x v="130"/>
    <x v="272"/>
    <x v="0"/>
    <n v="39"/>
    <x v="0"/>
    <x v="2"/>
    <n v="30"/>
    <n v="30"/>
    <x v="4"/>
    <n v="5"/>
    <n v="2025"/>
    <x v="2"/>
  </r>
  <r>
    <x v="387"/>
    <x v="130"/>
    <x v="273"/>
    <x v="1"/>
    <n v="25"/>
    <x v="2"/>
    <x v="2"/>
    <n v="25"/>
    <n v="25"/>
    <x v="4"/>
    <n v="5"/>
    <n v="2025"/>
    <x v="3"/>
  </r>
  <r>
    <x v="388"/>
    <x v="130"/>
    <x v="274"/>
    <x v="1"/>
    <n v="47"/>
    <x v="1"/>
    <x v="1"/>
    <n v="25"/>
    <n v="50"/>
    <x v="4"/>
    <n v="5"/>
    <n v="2025"/>
    <x v="1"/>
  </r>
  <r>
    <x v="389"/>
    <x v="131"/>
    <x v="275"/>
    <x v="1"/>
    <n v="52"/>
    <x v="2"/>
    <x v="1"/>
    <n v="50"/>
    <n v="100"/>
    <x v="4"/>
    <n v="5"/>
    <n v="2025"/>
    <x v="1"/>
  </r>
  <r>
    <x v="390"/>
    <x v="131"/>
    <x v="276"/>
    <x v="0"/>
    <n v="54"/>
    <x v="0"/>
    <x v="1"/>
    <n v="25"/>
    <n v="50"/>
    <x v="4"/>
    <n v="5"/>
    <n v="2025"/>
    <x v="1"/>
  </r>
  <r>
    <x v="391"/>
    <x v="131"/>
    <x v="277"/>
    <x v="1"/>
    <n v="42"/>
    <x v="1"/>
    <x v="1"/>
    <n v="300"/>
    <n v="600"/>
    <x v="4"/>
    <n v="5"/>
    <n v="2025"/>
    <x v="2"/>
  </r>
  <r>
    <x v="392"/>
    <x v="132"/>
    <x v="278"/>
    <x v="1"/>
    <n v="57"/>
    <x v="0"/>
    <x v="1"/>
    <n v="500"/>
    <n v="1000"/>
    <x v="4"/>
    <n v="5"/>
    <n v="2025"/>
    <x v="1"/>
  </r>
  <r>
    <x v="393"/>
    <x v="132"/>
    <x v="279"/>
    <x v="0"/>
    <n v="25"/>
    <x v="1"/>
    <x v="2"/>
    <n v="500"/>
    <n v="500"/>
    <x v="4"/>
    <n v="5"/>
    <n v="2025"/>
    <x v="3"/>
  </r>
  <r>
    <x v="394"/>
    <x v="132"/>
    <x v="280"/>
    <x v="1"/>
    <n v="49"/>
    <x v="2"/>
    <x v="1"/>
    <n v="500"/>
    <n v="1000"/>
    <x v="4"/>
    <n v="5"/>
    <n v="2025"/>
    <x v="1"/>
  </r>
  <r>
    <x v="395"/>
    <x v="133"/>
    <x v="281"/>
    <x v="1"/>
    <n v="32"/>
    <x v="0"/>
    <x v="2"/>
    <n v="30"/>
    <n v="30"/>
    <x v="4"/>
    <n v="5"/>
    <n v="2025"/>
    <x v="0"/>
  </r>
  <r>
    <x v="396"/>
    <x v="133"/>
    <x v="62"/>
    <x v="0"/>
    <n v="64"/>
    <x v="0"/>
    <x v="2"/>
    <n v="25"/>
    <n v="25"/>
    <x v="4"/>
    <n v="5"/>
    <n v="2025"/>
    <x v="1"/>
  </r>
  <r>
    <x v="397"/>
    <x v="133"/>
    <x v="282"/>
    <x v="1"/>
    <n v="19"/>
    <x v="1"/>
    <x v="1"/>
    <n v="300"/>
    <n v="600"/>
    <x v="4"/>
    <n v="5"/>
    <n v="2025"/>
    <x v="3"/>
  </r>
  <r>
    <x v="398"/>
    <x v="133"/>
    <x v="182"/>
    <x v="1"/>
    <n v="20"/>
    <x v="0"/>
    <x v="1"/>
    <n v="30"/>
    <n v="60"/>
    <x v="4"/>
    <n v="5"/>
    <n v="2025"/>
    <x v="3"/>
  </r>
  <r>
    <x v="399"/>
    <x v="134"/>
    <x v="283"/>
    <x v="1"/>
    <n v="24"/>
    <x v="1"/>
    <x v="3"/>
    <n v="50"/>
    <n v="200"/>
    <x v="4"/>
    <n v="5"/>
    <n v="2025"/>
    <x v="3"/>
  </r>
  <r>
    <x v="400"/>
    <x v="134"/>
    <x v="276"/>
    <x v="1"/>
    <n v="25"/>
    <x v="1"/>
    <x v="2"/>
    <n v="300"/>
    <n v="300"/>
    <x v="4"/>
    <n v="5"/>
    <n v="2025"/>
    <x v="3"/>
  </r>
  <r>
    <x v="401"/>
    <x v="134"/>
    <x v="284"/>
    <x v="1"/>
    <n v="59"/>
    <x v="1"/>
    <x v="1"/>
    <n v="300"/>
    <n v="600"/>
    <x v="4"/>
    <n v="5"/>
    <n v="2025"/>
    <x v="1"/>
  </r>
  <r>
    <x v="402"/>
    <x v="134"/>
    <x v="285"/>
    <x v="1"/>
    <n v="64"/>
    <x v="1"/>
    <x v="1"/>
    <n v="300"/>
    <n v="600"/>
    <x v="4"/>
    <n v="5"/>
    <n v="2025"/>
    <x v="1"/>
  </r>
  <r>
    <x v="403"/>
    <x v="134"/>
    <x v="2"/>
    <x v="0"/>
    <n v="50"/>
    <x v="2"/>
    <x v="1"/>
    <n v="500"/>
    <n v="1000"/>
    <x v="4"/>
    <n v="5"/>
    <n v="2025"/>
    <x v="1"/>
  </r>
  <r>
    <x v="404"/>
    <x v="134"/>
    <x v="286"/>
    <x v="1"/>
    <n v="46"/>
    <x v="1"/>
    <x v="3"/>
    <n v="300"/>
    <n v="1200"/>
    <x v="4"/>
    <n v="5"/>
    <n v="2025"/>
    <x v="1"/>
  </r>
  <r>
    <x v="405"/>
    <x v="134"/>
    <x v="75"/>
    <x v="0"/>
    <n v="44"/>
    <x v="0"/>
    <x v="3"/>
    <n v="25"/>
    <n v="100"/>
    <x v="4"/>
    <n v="5"/>
    <n v="2025"/>
    <x v="2"/>
  </r>
  <r>
    <x v="406"/>
    <x v="134"/>
    <x v="287"/>
    <x v="0"/>
    <n v="19"/>
    <x v="2"/>
    <x v="0"/>
    <n v="300"/>
    <n v="900"/>
    <x v="4"/>
    <n v="5"/>
    <n v="2025"/>
    <x v="3"/>
  </r>
  <r>
    <x v="407"/>
    <x v="134"/>
    <x v="138"/>
    <x v="1"/>
    <n v="22"/>
    <x v="0"/>
    <x v="2"/>
    <n v="500"/>
    <n v="500"/>
    <x v="4"/>
    <n v="5"/>
    <n v="2025"/>
    <x v="3"/>
  </r>
  <r>
    <x v="408"/>
    <x v="135"/>
    <x v="288"/>
    <x v="1"/>
    <n v="55"/>
    <x v="2"/>
    <x v="0"/>
    <n v="300"/>
    <n v="900"/>
    <x v="4"/>
    <n v="5"/>
    <n v="2025"/>
    <x v="1"/>
  </r>
  <r>
    <x v="409"/>
    <x v="136"/>
    <x v="255"/>
    <x v="1"/>
    <n v="30"/>
    <x v="1"/>
    <x v="1"/>
    <n v="50"/>
    <n v="100"/>
    <x v="4"/>
    <n v="5"/>
    <n v="2025"/>
    <x v="0"/>
  </r>
  <r>
    <x v="410"/>
    <x v="136"/>
    <x v="289"/>
    <x v="1"/>
    <n v="64"/>
    <x v="2"/>
    <x v="3"/>
    <n v="50"/>
    <n v="200"/>
    <x v="4"/>
    <n v="5"/>
    <n v="2025"/>
    <x v="1"/>
  </r>
  <r>
    <x v="411"/>
    <x v="136"/>
    <x v="290"/>
    <x v="1"/>
    <n v="22"/>
    <x v="2"/>
    <x v="3"/>
    <n v="500"/>
    <n v="2000"/>
    <x v="4"/>
    <n v="5"/>
    <n v="2025"/>
    <x v="3"/>
  </r>
  <r>
    <x v="412"/>
    <x v="137"/>
    <x v="291"/>
    <x v="1"/>
    <n v="64"/>
    <x v="0"/>
    <x v="0"/>
    <n v="25"/>
    <n v="75"/>
    <x v="4"/>
    <n v="5"/>
    <n v="2025"/>
    <x v="1"/>
  </r>
  <r>
    <x v="413"/>
    <x v="137"/>
    <x v="292"/>
    <x v="1"/>
    <n v="44"/>
    <x v="0"/>
    <x v="3"/>
    <n v="25"/>
    <n v="100"/>
    <x v="4"/>
    <n v="5"/>
    <n v="2025"/>
    <x v="2"/>
  </r>
  <r>
    <x v="414"/>
    <x v="137"/>
    <x v="293"/>
    <x v="0"/>
    <n v="48"/>
    <x v="1"/>
    <x v="1"/>
    <n v="30"/>
    <n v="60"/>
    <x v="4"/>
    <n v="5"/>
    <n v="2025"/>
    <x v="1"/>
  </r>
  <r>
    <x v="415"/>
    <x v="138"/>
    <x v="294"/>
    <x v="0"/>
    <n v="22"/>
    <x v="2"/>
    <x v="3"/>
    <n v="500"/>
    <n v="2000"/>
    <x v="4"/>
    <n v="5"/>
    <n v="2025"/>
    <x v="3"/>
  </r>
  <r>
    <x v="416"/>
    <x v="138"/>
    <x v="295"/>
    <x v="0"/>
    <n v="61"/>
    <x v="2"/>
    <x v="0"/>
    <n v="300"/>
    <n v="900"/>
    <x v="4"/>
    <n v="5"/>
    <n v="2025"/>
    <x v="1"/>
  </r>
  <r>
    <x v="417"/>
    <x v="138"/>
    <x v="296"/>
    <x v="0"/>
    <n v="31"/>
    <x v="2"/>
    <x v="1"/>
    <n v="500"/>
    <n v="1000"/>
    <x v="4"/>
    <n v="5"/>
    <n v="2025"/>
    <x v="0"/>
  </r>
  <r>
    <x v="418"/>
    <x v="139"/>
    <x v="297"/>
    <x v="1"/>
    <n v="28"/>
    <x v="1"/>
    <x v="0"/>
    <n v="30"/>
    <n v="90"/>
    <x v="4"/>
    <n v="5"/>
    <n v="2025"/>
    <x v="0"/>
  </r>
  <r>
    <x v="419"/>
    <x v="140"/>
    <x v="298"/>
    <x v="1"/>
    <n v="26"/>
    <x v="1"/>
    <x v="3"/>
    <n v="500"/>
    <n v="2000"/>
    <x v="4"/>
    <n v="5"/>
    <n v="2025"/>
    <x v="0"/>
  </r>
  <r>
    <x v="420"/>
    <x v="141"/>
    <x v="299"/>
    <x v="0"/>
    <n v="51"/>
    <x v="1"/>
    <x v="0"/>
    <n v="500"/>
    <n v="1500"/>
    <x v="4"/>
    <n v="5"/>
    <n v="2025"/>
    <x v="1"/>
  </r>
  <r>
    <x v="421"/>
    <x v="141"/>
    <x v="300"/>
    <x v="1"/>
    <n v="29"/>
    <x v="1"/>
    <x v="0"/>
    <n v="30"/>
    <n v="90"/>
    <x v="4"/>
    <n v="5"/>
    <n v="2025"/>
    <x v="0"/>
  </r>
  <r>
    <x v="422"/>
    <x v="142"/>
    <x v="301"/>
    <x v="1"/>
    <n v="52"/>
    <x v="1"/>
    <x v="2"/>
    <n v="25"/>
    <n v="25"/>
    <x v="4"/>
    <n v="5"/>
    <n v="2025"/>
    <x v="1"/>
  </r>
  <r>
    <x v="423"/>
    <x v="142"/>
    <x v="181"/>
    <x v="1"/>
    <n v="52"/>
    <x v="0"/>
    <x v="3"/>
    <n v="300"/>
    <n v="1200"/>
    <x v="4"/>
    <n v="5"/>
    <n v="2025"/>
    <x v="1"/>
  </r>
  <r>
    <x v="424"/>
    <x v="142"/>
    <x v="302"/>
    <x v="1"/>
    <n v="18"/>
    <x v="2"/>
    <x v="3"/>
    <n v="30"/>
    <n v="120"/>
    <x v="4"/>
    <n v="5"/>
    <n v="2025"/>
    <x v="3"/>
  </r>
  <r>
    <x v="425"/>
    <x v="143"/>
    <x v="282"/>
    <x v="0"/>
    <n v="57"/>
    <x v="2"/>
    <x v="0"/>
    <n v="50"/>
    <n v="150"/>
    <x v="5"/>
    <n v="6"/>
    <n v="2025"/>
    <x v="1"/>
  </r>
  <r>
    <x v="426"/>
    <x v="143"/>
    <x v="303"/>
    <x v="0"/>
    <n v="39"/>
    <x v="2"/>
    <x v="2"/>
    <n v="25"/>
    <n v="25"/>
    <x v="5"/>
    <n v="6"/>
    <n v="2025"/>
    <x v="2"/>
  </r>
  <r>
    <x v="427"/>
    <x v="143"/>
    <x v="304"/>
    <x v="1"/>
    <n v="46"/>
    <x v="2"/>
    <x v="3"/>
    <n v="50"/>
    <n v="200"/>
    <x v="5"/>
    <n v="6"/>
    <n v="2025"/>
    <x v="1"/>
  </r>
  <r>
    <x v="428"/>
    <x v="144"/>
    <x v="185"/>
    <x v="1"/>
    <n v="25"/>
    <x v="2"/>
    <x v="1"/>
    <n v="25"/>
    <n v="50"/>
    <x v="5"/>
    <n v="6"/>
    <n v="2025"/>
    <x v="3"/>
  </r>
  <r>
    <x v="429"/>
    <x v="144"/>
    <x v="305"/>
    <x v="0"/>
    <n v="28"/>
    <x v="2"/>
    <x v="0"/>
    <n v="300"/>
    <n v="900"/>
    <x v="5"/>
    <n v="6"/>
    <n v="2025"/>
    <x v="0"/>
  </r>
  <r>
    <x v="430"/>
    <x v="144"/>
    <x v="287"/>
    <x v="0"/>
    <n v="58"/>
    <x v="2"/>
    <x v="3"/>
    <n v="300"/>
    <n v="1200"/>
    <x v="5"/>
    <n v="6"/>
    <n v="2025"/>
    <x v="1"/>
  </r>
  <r>
    <x v="431"/>
    <x v="145"/>
    <x v="306"/>
    <x v="1"/>
    <n v="54"/>
    <x v="2"/>
    <x v="1"/>
    <n v="500"/>
    <n v="1000"/>
    <x v="5"/>
    <n v="6"/>
    <n v="2025"/>
    <x v="1"/>
  </r>
  <r>
    <x v="432"/>
    <x v="145"/>
    <x v="307"/>
    <x v="0"/>
    <n v="31"/>
    <x v="0"/>
    <x v="3"/>
    <n v="50"/>
    <n v="200"/>
    <x v="5"/>
    <n v="6"/>
    <n v="2025"/>
    <x v="0"/>
  </r>
  <r>
    <x v="433"/>
    <x v="145"/>
    <x v="104"/>
    <x v="1"/>
    <n v="47"/>
    <x v="2"/>
    <x v="1"/>
    <n v="25"/>
    <n v="50"/>
    <x v="5"/>
    <n v="6"/>
    <n v="2025"/>
    <x v="1"/>
  </r>
  <r>
    <x v="434"/>
    <x v="146"/>
    <x v="308"/>
    <x v="1"/>
    <n v="52"/>
    <x v="0"/>
    <x v="0"/>
    <n v="300"/>
    <n v="900"/>
    <x v="5"/>
    <n v="6"/>
    <n v="2025"/>
    <x v="1"/>
  </r>
  <r>
    <x v="435"/>
    <x v="146"/>
    <x v="204"/>
    <x v="0"/>
    <n v="38"/>
    <x v="1"/>
    <x v="3"/>
    <n v="30"/>
    <n v="120"/>
    <x v="5"/>
    <n v="6"/>
    <n v="2025"/>
    <x v="2"/>
  </r>
  <r>
    <x v="436"/>
    <x v="146"/>
    <x v="309"/>
    <x v="0"/>
    <n v="54"/>
    <x v="2"/>
    <x v="3"/>
    <n v="300"/>
    <n v="1200"/>
    <x v="5"/>
    <n v="6"/>
    <n v="2025"/>
    <x v="1"/>
  </r>
  <r>
    <x v="437"/>
    <x v="146"/>
    <x v="301"/>
    <x v="1"/>
    <n v="22"/>
    <x v="1"/>
    <x v="2"/>
    <n v="30"/>
    <n v="30"/>
    <x v="5"/>
    <n v="6"/>
    <n v="2025"/>
    <x v="3"/>
  </r>
  <r>
    <x v="438"/>
    <x v="147"/>
    <x v="310"/>
    <x v="1"/>
    <n v="36"/>
    <x v="1"/>
    <x v="0"/>
    <n v="25"/>
    <n v="75"/>
    <x v="5"/>
    <n v="6"/>
    <n v="2025"/>
    <x v="2"/>
  </r>
  <r>
    <x v="439"/>
    <x v="147"/>
    <x v="311"/>
    <x v="0"/>
    <n v="31"/>
    <x v="1"/>
    <x v="1"/>
    <n v="300"/>
    <n v="600"/>
    <x v="5"/>
    <n v="6"/>
    <n v="2025"/>
    <x v="0"/>
  </r>
  <r>
    <x v="440"/>
    <x v="148"/>
    <x v="312"/>
    <x v="1"/>
    <n v="43"/>
    <x v="0"/>
    <x v="3"/>
    <n v="300"/>
    <n v="1200"/>
    <x v="5"/>
    <n v="6"/>
    <n v="2025"/>
    <x v="2"/>
  </r>
  <r>
    <x v="441"/>
    <x v="148"/>
    <x v="313"/>
    <x v="0"/>
    <n v="21"/>
    <x v="1"/>
    <x v="3"/>
    <n v="25"/>
    <n v="100"/>
    <x v="5"/>
    <n v="6"/>
    <n v="2025"/>
    <x v="3"/>
  </r>
  <r>
    <x v="442"/>
    <x v="148"/>
    <x v="314"/>
    <x v="1"/>
    <n v="42"/>
    <x v="1"/>
    <x v="1"/>
    <n v="300"/>
    <n v="600"/>
    <x v="5"/>
    <n v="6"/>
    <n v="2025"/>
    <x v="2"/>
  </r>
  <r>
    <x v="443"/>
    <x v="148"/>
    <x v="315"/>
    <x v="0"/>
    <n v="62"/>
    <x v="1"/>
    <x v="0"/>
    <n v="30"/>
    <n v="90"/>
    <x v="5"/>
    <n v="6"/>
    <n v="2025"/>
    <x v="1"/>
  </r>
  <r>
    <x v="444"/>
    <x v="149"/>
    <x v="316"/>
    <x v="0"/>
    <n v="59"/>
    <x v="2"/>
    <x v="2"/>
    <n v="300"/>
    <n v="300"/>
    <x v="5"/>
    <n v="6"/>
    <n v="2025"/>
    <x v="1"/>
  </r>
  <r>
    <x v="445"/>
    <x v="149"/>
    <x v="317"/>
    <x v="0"/>
    <n v="42"/>
    <x v="2"/>
    <x v="2"/>
    <n v="50"/>
    <n v="50"/>
    <x v="5"/>
    <n v="6"/>
    <n v="2025"/>
    <x v="2"/>
  </r>
  <r>
    <x v="446"/>
    <x v="150"/>
    <x v="318"/>
    <x v="1"/>
    <n v="35"/>
    <x v="0"/>
    <x v="2"/>
    <n v="500"/>
    <n v="500"/>
    <x v="5"/>
    <n v="6"/>
    <n v="2025"/>
    <x v="0"/>
  </r>
  <r>
    <x v="447"/>
    <x v="150"/>
    <x v="319"/>
    <x v="1"/>
    <n v="57"/>
    <x v="0"/>
    <x v="1"/>
    <n v="30"/>
    <n v="60"/>
    <x v="5"/>
    <n v="6"/>
    <n v="2025"/>
    <x v="1"/>
  </r>
  <r>
    <x v="448"/>
    <x v="151"/>
    <x v="320"/>
    <x v="0"/>
    <n v="25"/>
    <x v="2"/>
    <x v="3"/>
    <n v="50"/>
    <n v="200"/>
    <x v="5"/>
    <n v="6"/>
    <n v="2025"/>
    <x v="3"/>
  </r>
  <r>
    <x v="449"/>
    <x v="151"/>
    <x v="321"/>
    <x v="1"/>
    <n v="56"/>
    <x v="0"/>
    <x v="1"/>
    <n v="25"/>
    <n v="50"/>
    <x v="5"/>
    <n v="6"/>
    <n v="2025"/>
    <x v="1"/>
  </r>
  <r>
    <x v="450"/>
    <x v="151"/>
    <x v="322"/>
    <x v="0"/>
    <n v="57"/>
    <x v="2"/>
    <x v="2"/>
    <n v="30"/>
    <n v="30"/>
    <x v="5"/>
    <n v="6"/>
    <n v="2025"/>
    <x v="1"/>
  </r>
  <r>
    <x v="451"/>
    <x v="152"/>
    <x v="323"/>
    <x v="0"/>
    <n v="31"/>
    <x v="1"/>
    <x v="0"/>
    <n v="500"/>
    <n v="1500"/>
    <x v="5"/>
    <n v="6"/>
    <n v="2025"/>
    <x v="0"/>
  </r>
  <r>
    <x v="452"/>
    <x v="152"/>
    <x v="72"/>
    <x v="1"/>
    <n v="49"/>
    <x v="1"/>
    <x v="1"/>
    <n v="500"/>
    <n v="1000"/>
    <x v="5"/>
    <n v="6"/>
    <n v="2025"/>
    <x v="1"/>
  </r>
  <r>
    <x v="453"/>
    <x v="152"/>
    <x v="324"/>
    <x v="1"/>
    <n v="55"/>
    <x v="0"/>
    <x v="2"/>
    <n v="25"/>
    <n v="25"/>
    <x v="5"/>
    <n v="6"/>
    <n v="2025"/>
    <x v="1"/>
  </r>
  <r>
    <x v="454"/>
    <x v="152"/>
    <x v="136"/>
    <x v="0"/>
    <n v="50"/>
    <x v="2"/>
    <x v="3"/>
    <n v="25"/>
    <n v="100"/>
    <x v="5"/>
    <n v="6"/>
    <n v="2025"/>
    <x v="1"/>
  </r>
  <r>
    <x v="455"/>
    <x v="153"/>
    <x v="325"/>
    <x v="1"/>
    <n v="40"/>
    <x v="2"/>
    <x v="1"/>
    <n v="30"/>
    <n v="60"/>
    <x v="5"/>
    <n v="6"/>
    <n v="2025"/>
    <x v="2"/>
  </r>
  <r>
    <x v="456"/>
    <x v="153"/>
    <x v="254"/>
    <x v="1"/>
    <n v="32"/>
    <x v="0"/>
    <x v="0"/>
    <n v="300"/>
    <n v="900"/>
    <x v="5"/>
    <n v="6"/>
    <n v="2025"/>
    <x v="0"/>
  </r>
  <r>
    <x v="457"/>
    <x v="153"/>
    <x v="326"/>
    <x v="0"/>
    <n v="50"/>
    <x v="2"/>
    <x v="3"/>
    <n v="25"/>
    <n v="100"/>
    <x v="5"/>
    <n v="6"/>
    <n v="2025"/>
    <x v="1"/>
  </r>
  <r>
    <x v="458"/>
    <x v="153"/>
    <x v="75"/>
    <x v="0"/>
    <n v="42"/>
    <x v="1"/>
    <x v="3"/>
    <n v="300"/>
    <n v="1200"/>
    <x v="5"/>
    <n v="6"/>
    <n v="2025"/>
    <x v="2"/>
  </r>
  <r>
    <x v="459"/>
    <x v="153"/>
    <x v="327"/>
    <x v="1"/>
    <n v="34"/>
    <x v="0"/>
    <x v="2"/>
    <n v="50"/>
    <n v="50"/>
    <x v="5"/>
    <n v="6"/>
    <n v="2025"/>
    <x v="0"/>
  </r>
  <r>
    <x v="460"/>
    <x v="154"/>
    <x v="328"/>
    <x v="0"/>
    <n v="50"/>
    <x v="0"/>
    <x v="1"/>
    <n v="500"/>
    <n v="1000"/>
    <x v="5"/>
    <n v="6"/>
    <n v="2025"/>
    <x v="1"/>
  </r>
  <r>
    <x v="461"/>
    <x v="155"/>
    <x v="138"/>
    <x v="0"/>
    <n v="64"/>
    <x v="2"/>
    <x v="3"/>
    <n v="300"/>
    <n v="1200"/>
    <x v="5"/>
    <n v="6"/>
    <n v="2025"/>
    <x v="1"/>
  </r>
  <r>
    <x v="462"/>
    <x v="156"/>
    <x v="329"/>
    <x v="1"/>
    <n v="19"/>
    <x v="0"/>
    <x v="0"/>
    <n v="500"/>
    <n v="1500"/>
    <x v="5"/>
    <n v="6"/>
    <n v="2025"/>
    <x v="3"/>
  </r>
  <r>
    <x v="463"/>
    <x v="157"/>
    <x v="255"/>
    <x v="0"/>
    <n v="31"/>
    <x v="2"/>
    <x v="1"/>
    <n v="300"/>
    <n v="600"/>
    <x v="5"/>
    <n v="6"/>
    <n v="2025"/>
    <x v="0"/>
  </r>
  <r>
    <x v="464"/>
    <x v="157"/>
    <x v="330"/>
    <x v="0"/>
    <n v="57"/>
    <x v="2"/>
    <x v="0"/>
    <n v="50"/>
    <n v="150"/>
    <x v="5"/>
    <n v="6"/>
    <n v="2025"/>
    <x v="1"/>
  </r>
  <r>
    <x v="465"/>
    <x v="158"/>
    <x v="331"/>
    <x v="1"/>
    <n v="57"/>
    <x v="2"/>
    <x v="3"/>
    <n v="25"/>
    <n v="100"/>
    <x v="5"/>
    <n v="6"/>
    <n v="2025"/>
    <x v="1"/>
  </r>
  <r>
    <x v="466"/>
    <x v="158"/>
    <x v="332"/>
    <x v="1"/>
    <n v="56"/>
    <x v="2"/>
    <x v="0"/>
    <n v="50"/>
    <n v="150"/>
    <x v="5"/>
    <n v="6"/>
    <n v="2025"/>
    <x v="1"/>
  </r>
  <r>
    <x v="467"/>
    <x v="159"/>
    <x v="333"/>
    <x v="0"/>
    <n v="23"/>
    <x v="2"/>
    <x v="2"/>
    <n v="25"/>
    <n v="25"/>
    <x v="5"/>
    <n v="6"/>
    <n v="2025"/>
    <x v="3"/>
  </r>
  <r>
    <x v="468"/>
    <x v="159"/>
    <x v="334"/>
    <x v="0"/>
    <n v="23"/>
    <x v="0"/>
    <x v="0"/>
    <n v="25"/>
    <n v="75"/>
    <x v="5"/>
    <n v="6"/>
    <n v="2025"/>
    <x v="3"/>
  </r>
  <r>
    <x v="469"/>
    <x v="159"/>
    <x v="335"/>
    <x v="1"/>
    <n v="20"/>
    <x v="1"/>
    <x v="1"/>
    <n v="500"/>
    <n v="1000"/>
    <x v="5"/>
    <n v="6"/>
    <n v="2025"/>
    <x v="3"/>
  </r>
  <r>
    <x v="470"/>
    <x v="160"/>
    <x v="336"/>
    <x v="1"/>
    <n v="24"/>
    <x v="1"/>
    <x v="0"/>
    <n v="50"/>
    <n v="150"/>
    <x v="5"/>
    <n v="6"/>
    <n v="2025"/>
    <x v="3"/>
  </r>
  <r>
    <x v="471"/>
    <x v="161"/>
    <x v="337"/>
    <x v="1"/>
    <n v="25"/>
    <x v="0"/>
    <x v="0"/>
    <n v="300"/>
    <n v="900"/>
    <x v="5"/>
    <n v="6"/>
    <n v="2025"/>
    <x v="3"/>
  </r>
  <r>
    <x v="472"/>
    <x v="161"/>
    <x v="338"/>
    <x v="1"/>
    <n v="59"/>
    <x v="0"/>
    <x v="2"/>
    <n v="50"/>
    <n v="50"/>
    <x v="5"/>
    <n v="6"/>
    <n v="2025"/>
    <x v="1"/>
  </r>
  <r>
    <x v="473"/>
    <x v="161"/>
    <x v="339"/>
    <x v="0"/>
    <n v="32"/>
    <x v="1"/>
    <x v="0"/>
    <n v="500"/>
    <n v="1500"/>
    <x v="5"/>
    <n v="6"/>
    <n v="2025"/>
    <x v="0"/>
  </r>
  <r>
    <x v="474"/>
    <x v="161"/>
    <x v="340"/>
    <x v="1"/>
    <n v="64"/>
    <x v="1"/>
    <x v="0"/>
    <n v="25"/>
    <n v="75"/>
    <x v="5"/>
    <n v="6"/>
    <n v="2025"/>
    <x v="1"/>
  </r>
  <r>
    <x v="475"/>
    <x v="161"/>
    <x v="341"/>
    <x v="1"/>
    <n v="46"/>
    <x v="1"/>
    <x v="3"/>
    <n v="500"/>
    <n v="2000"/>
    <x v="5"/>
    <n v="6"/>
    <n v="2025"/>
    <x v="1"/>
  </r>
  <r>
    <x v="476"/>
    <x v="162"/>
    <x v="342"/>
    <x v="0"/>
    <n v="50"/>
    <x v="1"/>
    <x v="3"/>
    <n v="30"/>
    <n v="120"/>
    <x v="5"/>
    <n v="6"/>
    <n v="2025"/>
    <x v="1"/>
  </r>
  <r>
    <x v="477"/>
    <x v="162"/>
    <x v="343"/>
    <x v="1"/>
    <n v="47"/>
    <x v="1"/>
    <x v="4"/>
    <n v="30"/>
    <n v="180"/>
    <x v="5"/>
    <n v="6"/>
    <n v="2025"/>
    <x v="1"/>
  </r>
  <r>
    <x v="478"/>
    <x v="163"/>
    <x v="344"/>
    <x v="0"/>
    <n v="56"/>
    <x v="2"/>
    <x v="3"/>
    <n v="300"/>
    <n v="1200"/>
    <x v="5"/>
    <n v="6"/>
    <n v="2025"/>
    <x v="1"/>
  </r>
  <r>
    <x v="479"/>
    <x v="163"/>
    <x v="345"/>
    <x v="1"/>
    <n v="44"/>
    <x v="0"/>
    <x v="3"/>
    <n v="500"/>
    <n v="2000"/>
    <x v="5"/>
    <n v="6"/>
    <n v="2025"/>
    <x v="2"/>
  </r>
  <r>
    <x v="480"/>
    <x v="164"/>
    <x v="346"/>
    <x v="1"/>
    <n v="53"/>
    <x v="2"/>
    <x v="3"/>
    <n v="300"/>
    <n v="1200"/>
    <x v="5"/>
    <n v="6"/>
    <n v="2025"/>
    <x v="1"/>
  </r>
  <r>
    <x v="481"/>
    <x v="164"/>
    <x v="347"/>
    <x v="1"/>
    <n v="46"/>
    <x v="1"/>
    <x v="3"/>
    <n v="300"/>
    <n v="1200"/>
    <x v="5"/>
    <n v="6"/>
    <n v="2025"/>
    <x v="1"/>
  </r>
  <r>
    <x v="482"/>
    <x v="164"/>
    <x v="348"/>
    <x v="0"/>
    <n v="55"/>
    <x v="1"/>
    <x v="2"/>
    <n v="30"/>
    <n v="30"/>
    <x v="5"/>
    <n v="6"/>
    <n v="2025"/>
    <x v="1"/>
  </r>
  <r>
    <x v="483"/>
    <x v="164"/>
    <x v="75"/>
    <x v="0"/>
    <n v="50"/>
    <x v="1"/>
    <x v="3"/>
    <n v="300"/>
    <n v="1200"/>
    <x v="5"/>
    <n v="6"/>
    <n v="2025"/>
    <x v="1"/>
  </r>
  <r>
    <x v="484"/>
    <x v="165"/>
    <x v="349"/>
    <x v="1"/>
    <n v="54"/>
    <x v="2"/>
    <x v="2"/>
    <n v="30"/>
    <n v="30"/>
    <x v="5"/>
    <n v="6"/>
    <n v="2025"/>
    <x v="1"/>
  </r>
  <r>
    <x v="485"/>
    <x v="165"/>
    <x v="138"/>
    <x v="0"/>
    <n v="44"/>
    <x v="2"/>
    <x v="2"/>
    <n v="25"/>
    <n v="25"/>
    <x v="5"/>
    <n v="6"/>
    <n v="2025"/>
    <x v="2"/>
  </r>
  <r>
    <x v="486"/>
    <x v="166"/>
    <x v="350"/>
    <x v="0"/>
    <n v="50"/>
    <x v="1"/>
    <x v="3"/>
    <n v="500"/>
    <n v="2000"/>
    <x v="5"/>
    <n v="6"/>
    <n v="2025"/>
    <x v="1"/>
  </r>
  <r>
    <x v="487"/>
    <x v="166"/>
    <x v="255"/>
    <x v="0"/>
    <n v="21"/>
    <x v="2"/>
    <x v="0"/>
    <n v="300"/>
    <n v="900"/>
    <x v="5"/>
    <n v="6"/>
    <n v="2025"/>
    <x v="3"/>
  </r>
  <r>
    <x v="488"/>
    <x v="166"/>
    <x v="351"/>
    <x v="0"/>
    <n v="39"/>
    <x v="2"/>
    <x v="2"/>
    <n v="30"/>
    <n v="30"/>
    <x v="5"/>
    <n v="6"/>
    <n v="2025"/>
    <x v="2"/>
  </r>
  <r>
    <x v="489"/>
    <x v="166"/>
    <x v="12"/>
    <x v="0"/>
    <n v="19"/>
    <x v="1"/>
    <x v="0"/>
    <n v="50"/>
    <n v="150"/>
    <x v="5"/>
    <n v="6"/>
    <n v="2025"/>
    <x v="3"/>
  </r>
  <r>
    <x v="490"/>
    <x v="166"/>
    <x v="352"/>
    <x v="0"/>
    <n v="27"/>
    <x v="2"/>
    <x v="0"/>
    <n v="300"/>
    <n v="900"/>
    <x v="5"/>
    <n v="6"/>
    <n v="2025"/>
    <x v="0"/>
  </r>
  <r>
    <x v="491"/>
    <x v="167"/>
    <x v="112"/>
    <x v="1"/>
    <n v="22"/>
    <x v="0"/>
    <x v="3"/>
    <n v="25"/>
    <n v="100"/>
    <x v="5"/>
    <n v="6"/>
    <n v="2025"/>
    <x v="3"/>
  </r>
  <r>
    <x v="492"/>
    <x v="168"/>
    <x v="353"/>
    <x v="1"/>
    <n v="27"/>
    <x v="0"/>
    <x v="1"/>
    <n v="25"/>
    <n v="50"/>
    <x v="5"/>
    <n v="6"/>
    <n v="2025"/>
    <x v="0"/>
  </r>
  <r>
    <x v="493"/>
    <x v="168"/>
    <x v="202"/>
    <x v="0"/>
    <n v="50"/>
    <x v="0"/>
    <x v="3"/>
    <n v="50"/>
    <n v="200"/>
    <x v="5"/>
    <n v="6"/>
    <n v="2025"/>
    <x v="1"/>
  </r>
  <r>
    <x v="494"/>
    <x v="168"/>
    <x v="354"/>
    <x v="1"/>
    <n v="55"/>
    <x v="0"/>
    <x v="1"/>
    <n v="30"/>
    <n v="60"/>
    <x v="5"/>
    <n v="6"/>
    <n v="2025"/>
    <x v="1"/>
  </r>
  <r>
    <x v="495"/>
    <x v="169"/>
    <x v="302"/>
    <x v="1"/>
    <n v="30"/>
    <x v="1"/>
    <x v="1"/>
    <n v="300"/>
    <n v="600"/>
    <x v="5"/>
    <n v="6"/>
    <n v="2025"/>
    <x v="0"/>
  </r>
  <r>
    <x v="496"/>
    <x v="170"/>
    <x v="355"/>
    <x v="1"/>
    <n v="48"/>
    <x v="1"/>
    <x v="3"/>
    <n v="30"/>
    <n v="120"/>
    <x v="5"/>
    <n v="6"/>
    <n v="2025"/>
    <x v="1"/>
  </r>
  <r>
    <x v="497"/>
    <x v="171"/>
    <x v="28"/>
    <x v="1"/>
    <n v="64"/>
    <x v="1"/>
    <x v="3"/>
    <n v="25"/>
    <n v="100"/>
    <x v="5"/>
    <n v="6"/>
    <n v="2025"/>
    <x v="1"/>
  </r>
  <r>
    <x v="498"/>
    <x v="171"/>
    <x v="356"/>
    <x v="0"/>
    <n v="53"/>
    <x v="0"/>
    <x v="1"/>
    <n v="30"/>
    <n v="60"/>
    <x v="5"/>
    <n v="6"/>
    <n v="2025"/>
    <x v="1"/>
  </r>
  <r>
    <x v="499"/>
    <x v="171"/>
    <x v="113"/>
    <x v="1"/>
    <n v="62"/>
    <x v="0"/>
    <x v="3"/>
    <n v="25"/>
    <n v="100"/>
    <x v="5"/>
    <n v="6"/>
    <n v="2025"/>
    <x v="1"/>
  </r>
  <r>
    <x v="500"/>
    <x v="172"/>
    <x v="357"/>
    <x v="1"/>
    <n v="41"/>
    <x v="2"/>
    <x v="1"/>
    <n v="30"/>
    <n v="60"/>
    <x v="5"/>
    <n v="6"/>
    <n v="2025"/>
    <x v="2"/>
  </r>
  <r>
    <x v="501"/>
    <x v="172"/>
    <x v="211"/>
    <x v="0"/>
    <n v="32"/>
    <x v="2"/>
    <x v="0"/>
    <n v="50"/>
    <n v="150"/>
    <x v="5"/>
    <n v="6"/>
    <n v="2025"/>
    <x v="0"/>
  </r>
  <r>
    <x v="502"/>
    <x v="173"/>
    <x v="358"/>
    <x v="0"/>
    <n v="46"/>
    <x v="0"/>
    <x v="3"/>
    <n v="500"/>
    <n v="2000"/>
    <x v="6"/>
    <n v="7"/>
    <n v="2025"/>
    <x v="1"/>
  </r>
  <r>
    <x v="503"/>
    <x v="173"/>
    <x v="306"/>
    <x v="1"/>
    <n v="25"/>
    <x v="0"/>
    <x v="0"/>
    <n v="50"/>
    <n v="150"/>
    <x v="6"/>
    <n v="7"/>
    <n v="2025"/>
    <x v="3"/>
  </r>
  <r>
    <x v="504"/>
    <x v="173"/>
    <x v="359"/>
    <x v="1"/>
    <n v="22"/>
    <x v="0"/>
    <x v="2"/>
    <n v="50"/>
    <n v="50"/>
    <x v="6"/>
    <n v="7"/>
    <n v="2025"/>
    <x v="3"/>
  </r>
  <r>
    <x v="505"/>
    <x v="173"/>
    <x v="360"/>
    <x v="1"/>
    <n v="46"/>
    <x v="0"/>
    <x v="6"/>
    <n v="500"/>
    <n v="2500"/>
    <x v="6"/>
    <n v="7"/>
    <n v="2025"/>
    <x v="1"/>
  </r>
  <r>
    <x v="506"/>
    <x v="174"/>
    <x v="361"/>
    <x v="1"/>
    <n v="64"/>
    <x v="2"/>
    <x v="0"/>
    <n v="500"/>
    <n v="1500"/>
    <x v="6"/>
    <n v="7"/>
    <n v="2025"/>
    <x v="1"/>
  </r>
  <r>
    <x v="507"/>
    <x v="174"/>
    <x v="362"/>
    <x v="1"/>
    <n v="21"/>
    <x v="0"/>
    <x v="1"/>
    <n v="300"/>
    <n v="600"/>
    <x v="6"/>
    <n v="7"/>
    <n v="2025"/>
    <x v="3"/>
  </r>
  <r>
    <x v="508"/>
    <x v="175"/>
    <x v="363"/>
    <x v="1"/>
    <n v="29"/>
    <x v="2"/>
    <x v="0"/>
    <n v="300"/>
    <n v="900"/>
    <x v="6"/>
    <n v="7"/>
    <n v="2025"/>
    <x v="0"/>
  </r>
  <r>
    <x v="509"/>
    <x v="176"/>
    <x v="364"/>
    <x v="0"/>
    <n v="62"/>
    <x v="0"/>
    <x v="3"/>
    <n v="50"/>
    <n v="200"/>
    <x v="6"/>
    <n v="7"/>
    <n v="2025"/>
    <x v="1"/>
  </r>
  <r>
    <x v="510"/>
    <x v="176"/>
    <x v="365"/>
    <x v="1"/>
    <n v="19"/>
    <x v="0"/>
    <x v="1"/>
    <n v="50"/>
    <n v="100"/>
    <x v="6"/>
    <n v="7"/>
    <n v="2025"/>
    <x v="3"/>
  </r>
  <r>
    <x v="511"/>
    <x v="176"/>
    <x v="366"/>
    <x v="1"/>
    <n v="25"/>
    <x v="0"/>
    <x v="2"/>
    <n v="25"/>
    <n v="25"/>
    <x v="6"/>
    <n v="7"/>
    <n v="2025"/>
    <x v="3"/>
  </r>
  <r>
    <x v="512"/>
    <x v="176"/>
    <x v="367"/>
    <x v="0"/>
    <n v="49"/>
    <x v="2"/>
    <x v="3"/>
    <n v="25"/>
    <n v="100"/>
    <x v="6"/>
    <n v="7"/>
    <n v="2025"/>
    <x v="1"/>
  </r>
  <r>
    <x v="513"/>
    <x v="177"/>
    <x v="368"/>
    <x v="0"/>
    <n v="31"/>
    <x v="2"/>
    <x v="2"/>
    <n v="300"/>
    <n v="300"/>
    <x v="6"/>
    <n v="7"/>
    <n v="2025"/>
    <x v="0"/>
  </r>
  <r>
    <x v="514"/>
    <x v="177"/>
    <x v="369"/>
    <x v="0"/>
    <n v="60"/>
    <x v="1"/>
    <x v="0"/>
    <n v="300"/>
    <n v="900"/>
    <x v="6"/>
    <n v="7"/>
    <n v="2025"/>
    <x v="1"/>
  </r>
  <r>
    <x v="515"/>
    <x v="177"/>
    <x v="370"/>
    <x v="1"/>
    <n v="54"/>
    <x v="0"/>
    <x v="3"/>
    <n v="25"/>
    <n v="100"/>
    <x v="6"/>
    <n v="7"/>
    <n v="2025"/>
    <x v="1"/>
  </r>
  <r>
    <x v="516"/>
    <x v="178"/>
    <x v="371"/>
    <x v="1"/>
    <n v="31"/>
    <x v="1"/>
    <x v="3"/>
    <n v="25"/>
    <n v="100"/>
    <x v="6"/>
    <n v="7"/>
    <n v="2025"/>
    <x v="0"/>
  </r>
  <r>
    <x v="517"/>
    <x v="178"/>
    <x v="93"/>
    <x v="0"/>
    <n v="35"/>
    <x v="1"/>
    <x v="2"/>
    <n v="30"/>
    <n v="30"/>
    <x v="6"/>
    <n v="7"/>
    <n v="2025"/>
    <x v="0"/>
  </r>
  <r>
    <x v="518"/>
    <x v="179"/>
    <x v="372"/>
    <x v="1"/>
    <n v="24"/>
    <x v="2"/>
    <x v="3"/>
    <n v="30"/>
    <n v="120"/>
    <x v="6"/>
    <n v="7"/>
    <n v="2025"/>
    <x v="3"/>
  </r>
  <r>
    <x v="519"/>
    <x v="179"/>
    <x v="160"/>
    <x v="0"/>
    <n v="36"/>
    <x v="2"/>
    <x v="3"/>
    <n v="25"/>
    <n v="100"/>
    <x v="6"/>
    <n v="7"/>
    <n v="2025"/>
    <x v="2"/>
  </r>
  <r>
    <x v="520"/>
    <x v="179"/>
    <x v="373"/>
    <x v="1"/>
    <n v="18"/>
    <x v="1"/>
    <x v="3"/>
    <n v="30"/>
    <n v="120"/>
    <x v="6"/>
    <n v="7"/>
    <n v="2025"/>
    <x v="3"/>
  </r>
  <r>
    <x v="521"/>
    <x v="179"/>
    <x v="257"/>
    <x v="0"/>
    <n v="19"/>
    <x v="0"/>
    <x v="0"/>
    <n v="500"/>
    <n v="1500"/>
    <x v="6"/>
    <n v="7"/>
    <n v="2025"/>
    <x v="3"/>
  </r>
  <r>
    <x v="522"/>
    <x v="180"/>
    <x v="374"/>
    <x v="1"/>
    <n v="40"/>
    <x v="2"/>
    <x v="2"/>
    <n v="300"/>
    <n v="300"/>
    <x v="6"/>
    <n v="7"/>
    <n v="2025"/>
    <x v="2"/>
  </r>
  <r>
    <x v="523"/>
    <x v="180"/>
    <x v="304"/>
    <x v="0"/>
    <n v="54"/>
    <x v="0"/>
    <x v="3"/>
    <n v="300"/>
    <n v="1200"/>
    <x v="6"/>
    <n v="7"/>
    <n v="2025"/>
    <x v="1"/>
  </r>
  <r>
    <x v="524"/>
    <x v="181"/>
    <x v="375"/>
    <x v="1"/>
    <n v="47"/>
    <x v="0"/>
    <x v="1"/>
    <n v="25"/>
    <n v="50"/>
    <x v="6"/>
    <n v="7"/>
    <n v="2025"/>
    <x v="1"/>
  </r>
  <r>
    <x v="525"/>
    <x v="182"/>
    <x v="212"/>
    <x v="1"/>
    <n v="52"/>
    <x v="1"/>
    <x v="1"/>
    <n v="50"/>
    <n v="100"/>
    <x v="6"/>
    <n v="7"/>
    <n v="2025"/>
    <x v="1"/>
  </r>
  <r>
    <x v="526"/>
    <x v="183"/>
    <x v="376"/>
    <x v="1"/>
    <n v="61"/>
    <x v="1"/>
    <x v="1"/>
    <n v="25"/>
    <n v="50"/>
    <x v="6"/>
    <n v="7"/>
    <n v="2025"/>
    <x v="1"/>
  </r>
  <r>
    <x v="527"/>
    <x v="183"/>
    <x v="377"/>
    <x v="0"/>
    <n v="41"/>
    <x v="1"/>
    <x v="1"/>
    <n v="30"/>
    <n v="60"/>
    <x v="6"/>
    <n v="7"/>
    <n v="2025"/>
    <x v="2"/>
  </r>
  <r>
    <x v="528"/>
    <x v="183"/>
    <x v="378"/>
    <x v="0"/>
    <n v="34"/>
    <x v="1"/>
    <x v="0"/>
    <n v="50"/>
    <n v="150"/>
    <x v="6"/>
    <n v="7"/>
    <n v="2025"/>
    <x v="0"/>
  </r>
  <r>
    <x v="529"/>
    <x v="183"/>
    <x v="75"/>
    <x v="0"/>
    <n v="31"/>
    <x v="2"/>
    <x v="3"/>
    <n v="30"/>
    <n v="120"/>
    <x v="6"/>
    <n v="7"/>
    <n v="2025"/>
    <x v="0"/>
  </r>
  <r>
    <x v="530"/>
    <x v="183"/>
    <x v="379"/>
    <x v="1"/>
    <n v="26"/>
    <x v="2"/>
    <x v="2"/>
    <n v="500"/>
    <n v="500"/>
    <x v="6"/>
    <n v="7"/>
    <n v="2025"/>
    <x v="0"/>
  </r>
  <r>
    <x v="531"/>
    <x v="183"/>
    <x v="138"/>
    <x v="0"/>
    <n v="57"/>
    <x v="1"/>
    <x v="3"/>
    <n v="30"/>
    <n v="120"/>
    <x v="6"/>
    <n v="7"/>
    <n v="2025"/>
    <x v="1"/>
  </r>
  <r>
    <x v="532"/>
    <x v="183"/>
    <x v="380"/>
    <x v="0"/>
    <n v="42"/>
    <x v="2"/>
    <x v="0"/>
    <n v="500"/>
    <n v="1500"/>
    <x v="6"/>
    <n v="7"/>
    <n v="2025"/>
    <x v="2"/>
  </r>
  <r>
    <x v="533"/>
    <x v="183"/>
    <x v="255"/>
    <x v="0"/>
    <n v="43"/>
    <x v="1"/>
    <x v="1"/>
    <n v="500"/>
    <n v="1000"/>
    <x v="6"/>
    <n v="7"/>
    <n v="2025"/>
    <x v="2"/>
  </r>
  <r>
    <x v="534"/>
    <x v="183"/>
    <x v="381"/>
    <x v="1"/>
    <n v="54"/>
    <x v="0"/>
    <x v="0"/>
    <n v="30"/>
    <n v="90"/>
    <x v="6"/>
    <n v="7"/>
    <n v="2025"/>
    <x v="1"/>
  </r>
  <r>
    <x v="535"/>
    <x v="183"/>
    <x v="382"/>
    <x v="0"/>
    <n v="38"/>
    <x v="0"/>
    <x v="3"/>
    <n v="30"/>
    <n v="120"/>
    <x v="6"/>
    <n v="7"/>
    <n v="2025"/>
    <x v="2"/>
  </r>
  <r>
    <x v="536"/>
    <x v="184"/>
    <x v="383"/>
    <x v="0"/>
    <n v="59"/>
    <x v="0"/>
    <x v="2"/>
    <n v="500"/>
    <n v="500"/>
    <x v="6"/>
    <n v="7"/>
    <n v="2025"/>
    <x v="1"/>
  </r>
  <r>
    <x v="537"/>
    <x v="184"/>
    <x v="384"/>
    <x v="1"/>
    <n v="58"/>
    <x v="1"/>
    <x v="0"/>
    <n v="50"/>
    <n v="150"/>
    <x v="6"/>
    <n v="7"/>
    <n v="2025"/>
    <x v="1"/>
  </r>
  <r>
    <x v="538"/>
    <x v="185"/>
    <x v="385"/>
    <x v="0"/>
    <n v="51"/>
    <x v="0"/>
    <x v="4"/>
    <n v="500"/>
    <n v="3000"/>
    <x v="6"/>
    <n v="7"/>
    <n v="2025"/>
    <x v="1"/>
  </r>
  <r>
    <x v="539"/>
    <x v="185"/>
    <x v="386"/>
    <x v="0"/>
    <n v="54"/>
    <x v="2"/>
    <x v="0"/>
    <n v="300"/>
    <n v="900"/>
    <x v="6"/>
    <n v="7"/>
    <n v="2025"/>
    <x v="1"/>
  </r>
  <r>
    <x v="540"/>
    <x v="186"/>
    <x v="328"/>
    <x v="0"/>
    <n v="42"/>
    <x v="0"/>
    <x v="2"/>
    <n v="500"/>
    <n v="500"/>
    <x v="6"/>
    <n v="7"/>
    <n v="2025"/>
    <x v="2"/>
  </r>
  <r>
    <x v="541"/>
    <x v="186"/>
    <x v="387"/>
    <x v="1"/>
    <n v="55"/>
    <x v="0"/>
    <x v="2"/>
    <n v="50"/>
    <n v="50"/>
    <x v="6"/>
    <n v="7"/>
    <n v="2025"/>
    <x v="1"/>
  </r>
  <r>
    <x v="542"/>
    <x v="187"/>
    <x v="289"/>
    <x v="0"/>
    <n v="40"/>
    <x v="0"/>
    <x v="1"/>
    <n v="300"/>
    <n v="600"/>
    <x v="6"/>
    <n v="7"/>
    <n v="2025"/>
    <x v="2"/>
  </r>
  <r>
    <x v="543"/>
    <x v="187"/>
    <x v="388"/>
    <x v="0"/>
    <n v="59"/>
    <x v="2"/>
    <x v="2"/>
    <n v="25"/>
    <n v="25"/>
    <x v="6"/>
    <n v="7"/>
    <n v="2025"/>
    <x v="1"/>
  </r>
  <r>
    <x v="544"/>
    <x v="187"/>
    <x v="184"/>
    <x v="1"/>
    <n v="44"/>
    <x v="1"/>
    <x v="1"/>
    <n v="25"/>
    <n v="50"/>
    <x v="6"/>
    <n v="7"/>
    <n v="2025"/>
    <x v="2"/>
  </r>
  <r>
    <x v="545"/>
    <x v="187"/>
    <x v="389"/>
    <x v="0"/>
    <n v="23"/>
    <x v="2"/>
    <x v="3"/>
    <n v="50"/>
    <n v="200"/>
    <x v="6"/>
    <n v="7"/>
    <n v="2025"/>
    <x v="3"/>
  </r>
  <r>
    <x v="546"/>
    <x v="188"/>
    <x v="286"/>
    <x v="1"/>
    <n v="44"/>
    <x v="1"/>
    <x v="3"/>
    <n v="500"/>
    <n v="2000"/>
    <x v="6"/>
    <n v="7"/>
    <n v="2025"/>
    <x v="2"/>
  </r>
  <r>
    <x v="547"/>
    <x v="189"/>
    <x v="390"/>
    <x v="0"/>
    <n v="57"/>
    <x v="1"/>
    <x v="1"/>
    <n v="30"/>
    <n v="60"/>
    <x v="6"/>
    <n v="7"/>
    <n v="2025"/>
    <x v="1"/>
  </r>
  <r>
    <x v="548"/>
    <x v="189"/>
    <x v="355"/>
    <x v="1"/>
    <n v="43"/>
    <x v="0"/>
    <x v="1"/>
    <n v="50"/>
    <n v="100"/>
    <x v="6"/>
    <n v="7"/>
    <n v="2025"/>
    <x v="2"/>
  </r>
  <r>
    <x v="549"/>
    <x v="190"/>
    <x v="391"/>
    <x v="1"/>
    <n v="38"/>
    <x v="1"/>
    <x v="0"/>
    <n v="300"/>
    <n v="900"/>
    <x v="6"/>
    <n v="7"/>
    <n v="2025"/>
    <x v="2"/>
  </r>
  <r>
    <x v="550"/>
    <x v="191"/>
    <x v="25"/>
    <x v="1"/>
    <n v="45"/>
    <x v="2"/>
    <x v="0"/>
    <n v="300"/>
    <n v="900"/>
    <x v="6"/>
    <n v="7"/>
    <n v="2025"/>
    <x v="2"/>
  </r>
  <r>
    <x v="551"/>
    <x v="191"/>
    <x v="392"/>
    <x v="1"/>
    <n v="53"/>
    <x v="2"/>
    <x v="0"/>
    <n v="25"/>
    <n v="75"/>
    <x v="6"/>
    <n v="7"/>
    <n v="2025"/>
    <x v="1"/>
  </r>
  <r>
    <x v="552"/>
    <x v="191"/>
    <x v="112"/>
    <x v="1"/>
    <n v="28"/>
    <x v="1"/>
    <x v="3"/>
    <n v="300"/>
    <n v="1200"/>
    <x v="6"/>
    <n v="7"/>
    <n v="2025"/>
    <x v="0"/>
  </r>
  <r>
    <x v="553"/>
    <x v="191"/>
    <x v="393"/>
    <x v="0"/>
    <n v="56"/>
    <x v="0"/>
    <x v="0"/>
    <n v="50"/>
    <n v="150"/>
    <x v="6"/>
    <n v="7"/>
    <n v="2025"/>
    <x v="1"/>
  </r>
  <r>
    <x v="554"/>
    <x v="191"/>
    <x v="210"/>
    <x v="1"/>
    <n v="52"/>
    <x v="0"/>
    <x v="2"/>
    <n v="300"/>
    <n v="300"/>
    <x v="6"/>
    <n v="7"/>
    <n v="2025"/>
    <x v="1"/>
  </r>
  <r>
    <x v="555"/>
    <x v="192"/>
    <x v="394"/>
    <x v="1"/>
    <n v="51"/>
    <x v="2"/>
    <x v="1"/>
    <n v="50"/>
    <n v="100"/>
    <x v="6"/>
    <n v="7"/>
    <n v="2025"/>
    <x v="1"/>
  </r>
  <r>
    <x v="556"/>
    <x v="192"/>
    <x v="395"/>
    <x v="1"/>
    <n v="64"/>
    <x v="0"/>
    <x v="0"/>
    <n v="30"/>
    <n v="90"/>
    <x v="6"/>
    <n v="7"/>
    <n v="2025"/>
    <x v="1"/>
  </r>
  <r>
    <x v="557"/>
    <x v="192"/>
    <x v="396"/>
    <x v="1"/>
    <n v="50"/>
    <x v="1"/>
    <x v="2"/>
    <n v="25"/>
    <n v="25"/>
    <x v="6"/>
    <n v="7"/>
    <n v="2025"/>
    <x v="1"/>
  </r>
  <r>
    <x v="558"/>
    <x v="193"/>
    <x v="397"/>
    <x v="0"/>
    <n v="53"/>
    <x v="1"/>
    <x v="3"/>
    <n v="300"/>
    <n v="1200"/>
    <x v="6"/>
    <n v="7"/>
    <n v="2025"/>
    <x v="1"/>
  </r>
  <r>
    <x v="559"/>
    <x v="193"/>
    <x v="398"/>
    <x v="1"/>
    <n v="37"/>
    <x v="2"/>
    <x v="2"/>
    <n v="50"/>
    <n v="50"/>
    <x v="6"/>
    <n v="7"/>
    <n v="2025"/>
    <x v="2"/>
  </r>
  <r>
    <x v="560"/>
    <x v="193"/>
    <x v="399"/>
    <x v="1"/>
    <n v="60"/>
    <x v="1"/>
    <x v="3"/>
    <n v="500"/>
    <n v="2000"/>
    <x v="6"/>
    <n v="7"/>
    <n v="2025"/>
    <x v="1"/>
  </r>
  <r>
    <x v="561"/>
    <x v="194"/>
    <x v="400"/>
    <x v="1"/>
    <n v="44"/>
    <x v="2"/>
    <x v="1"/>
    <n v="25"/>
    <n v="50"/>
    <x v="6"/>
    <n v="7"/>
    <n v="2025"/>
    <x v="2"/>
  </r>
  <r>
    <x v="562"/>
    <x v="194"/>
    <x v="401"/>
    <x v="0"/>
    <n v="48"/>
    <x v="1"/>
    <x v="1"/>
    <n v="30"/>
    <n v="60"/>
    <x v="6"/>
    <n v="7"/>
    <n v="2025"/>
    <x v="1"/>
  </r>
  <r>
    <x v="563"/>
    <x v="194"/>
    <x v="402"/>
    <x v="0"/>
    <n v="53"/>
    <x v="2"/>
    <x v="1"/>
    <n v="50"/>
    <n v="100"/>
    <x v="6"/>
    <n v="7"/>
    <n v="2025"/>
    <x v="1"/>
  </r>
  <r>
    <x v="564"/>
    <x v="195"/>
    <x v="403"/>
    <x v="0"/>
    <n v="53"/>
    <x v="0"/>
    <x v="1"/>
    <n v="30"/>
    <n v="60"/>
    <x v="6"/>
    <n v="7"/>
    <n v="2025"/>
    <x v="1"/>
  </r>
  <r>
    <x v="565"/>
    <x v="195"/>
    <x v="404"/>
    <x v="0"/>
    <n v="43"/>
    <x v="1"/>
    <x v="2"/>
    <n v="30"/>
    <n v="30"/>
    <x v="6"/>
    <n v="7"/>
    <n v="2025"/>
    <x v="2"/>
  </r>
  <r>
    <x v="566"/>
    <x v="195"/>
    <x v="405"/>
    <x v="1"/>
    <n v="60"/>
    <x v="1"/>
    <x v="0"/>
    <n v="300"/>
    <n v="900"/>
    <x v="6"/>
    <n v="7"/>
    <n v="2025"/>
    <x v="1"/>
  </r>
  <r>
    <x v="567"/>
    <x v="195"/>
    <x v="406"/>
    <x v="1"/>
    <n v="44"/>
    <x v="2"/>
    <x v="2"/>
    <n v="300"/>
    <n v="300"/>
    <x v="6"/>
    <n v="7"/>
    <n v="2025"/>
    <x v="2"/>
  </r>
  <r>
    <x v="568"/>
    <x v="195"/>
    <x v="407"/>
    <x v="1"/>
    <n v="22"/>
    <x v="2"/>
    <x v="3"/>
    <n v="50"/>
    <n v="200"/>
    <x v="6"/>
    <n v="7"/>
    <n v="2025"/>
    <x v="3"/>
  </r>
  <r>
    <x v="569"/>
    <x v="196"/>
    <x v="408"/>
    <x v="1"/>
    <n v="37"/>
    <x v="1"/>
    <x v="2"/>
    <n v="500"/>
    <n v="500"/>
    <x v="6"/>
    <n v="7"/>
    <n v="2025"/>
    <x v="2"/>
  </r>
  <r>
    <x v="570"/>
    <x v="196"/>
    <x v="75"/>
    <x v="1"/>
    <n v="28"/>
    <x v="2"/>
    <x v="2"/>
    <n v="50"/>
    <n v="50"/>
    <x v="6"/>
    <n v="7"/>
    <n v="2025"/>
    <x v="0"/>
  </r>
  <r>
    <x v="571"/>
    <x v="197"/>
    <x v="409"/>
    <x v="1"/>
    <n v="27"/>
    <x v="1"/>
    <x v="3"/>
    <n v="500"/>
    <n v="2000"/>
    <x v="6"/>
    <n v="7"/>
    <n v="2025"/>
    <x v="0"/>
  </r>
  <r>
    <x v="572"/>
    <x v="197"/>
    <x v="138"/>
    <x v="0"/>
    <n v="57"/>
    <x v="0"/>
    <x v="1"/>
    <n v="30"/>
    <n v="60"/>
    <x v="6"/>
    <n v="7"/>
    <n v="2025"/>
    <x v="1"/>
  </r>
  <r>
    <x v="573"/>
    <x v="198"/>
    <x v="410"/>
    <x v="1"/>
    <n v="55"/>
    <x v="2"/>
    <x v="1"/>
    <n v="25"/>
    <n v="50"/>
    <x v="6"/>
    <n v="7"/>
    <n v="2025"/>
    <x v="1"/>
  </r>
  <r>
    <x v="574"/>
    <x v="199"/>
    <x v="255"/>
    <x v="0"/>
    <n v="23"/>
    <x v="1"/>
    <x v="1"/>
    <n v="50"/>
    <n v="100"/>
    <x v="7"/>
    <n v="8"/>
    <n v="2025"/>
    <x v="3"/>
  </r>
  <r>
    <x v="575"/>
    <x v="199"/>
    <x v="411"/>
    <x v="0"/>
    <n v="25"/>
    <x v="0"/>
    <x v="0"/>
    <n v="50"/>
    <n v="150"/>
    <x v="7"/>
    <n v="8"/>
    <n v="2025"/>
    <x v="3"/>
  </r>
  <r>
    <x v="576"/>
    <x v="199"/>
    <x v="48"/>
    <x v="1"/>
    <n v="40"/>
    <x v="0"/>
    <x v="3"/>
    <n v="500"/>
    <n v="2000"/>
    <x v="7"/>
    <n v="8"/>
    <n v="2025"/>
    <x v="2"/>
  </r>
  <r>
    <x v="577"/>
    <x v="200"/>
    <x v="412"/>
    <x v="0"/>
    <n v="64"/>
    <x v="1"/>
    <x v="3"/>
    <n v="30"/>
    <n v="120"/>
    <x v="7"/>
    <n v="8"/>
    <n v="2025"/>
    <x v="1"/>
  </r>
  <r>
    <x v="578"/>
    <x v="201"/>
    <x v="107"/>
    <x v="1"/>
    <n v="43"/>
    <x v="2"/>
    <x v="2"/>
    <n v="30"/>
    <n v="30"/>
    <x v="7"/>
    <n v="8"/>
    <n v="2025"/>
    <x v="2"/>
  </r>
  <r>
    <x v="579"/>
    <x v="201"/>
    <x v="413"/>
    <x v="0"/>
    <n v="63"/>
    <x v="1"/>
    <x v="0"/>
    <n v="500"/>
    <n v="1500"/>
    <x v="7"/>
    <n v="8"/>
    <n v="2025"/>
    <x v="1"/>
  </r>
  <r>
    <x v="580"/>
    <x v="201"/>
    <x v="307"/>
    <x v="1"/>
    <n v="60"/>
    <x v="0"/>
    <x v="1"/>
    <n v="30"/>
    <n v="60"/>
    <x v="7"/>
    <n v="8"/>
    <n v="2025"/>
    <x v="1"/>
  </r>
  <r>
    <x v="581"/>
    <x v="202"/>
    <x v="414"/>
    <x v="0"/>
    <n v="29"/>
    <x v="1"/>
    <x v="0"/>
    <n v="300"/>
    <n v="900"/>
    <x v="7"/>
    <n v="8"/>
    <n v="2025"/>
    <x v="0"/>
  </r>
  <r>
    <x v="582"/>
    <x v="202"/>
    <x v="411"/>
    <x v="1"/>
    <n v="43"/>
    <x v="2"/>
    <x v="3"/>
    <n v="25"/>
    <n v="100"/>
    <x v="7"/>
    <n v="8"/>
    <n v="2025"/>
    <x v="2"/>
  </r>
  <r>
    <x v="583"/>
    <x v="202"/>
    <x v="415"/>
    <x v="1"/>
    <n v="30"/>
    <x v="0"/>
    <x v="3"/>
    <n v="50"/>
    <n v="200"/>
    <x v="7"/>
    <n v="8"/>
    <n v="2025"/>
    <x v="0"/>
  </r>
  <r>
    <x v="584"/>
    <x v="202"/>
    <x v="416"/>
    <x v="1"/>
    <n v="57"/>
    <x v="1"/>
    <x v="2"/>
    <n v="25"/>
    <n v="25"/>
    <x v="7"/>
    <n v="8"/>
    <n v="2025"/>
    <x v="1"/>
  </r>
  <r>
    <x v="585"/>
    <x v="203"/>
    <x v="417"/>
    <x v="1"/>
    <n v="35"/>
    <x v="2"/>
    <x v="2"/>
    <n v="50"/>
    <n v="50"/>
    <x v="7"/>
    <n v="8"/>
    <n v="2025"/>
    <x v="0"/>
  </r>
  <r>
    <x v="586"/>
    <x v="203"/>
    <x v="418"/>
    <x v="1"/>
    <n v="42"/>
    <x v="0"/>
    <x v="3"/>
    <n v="300"/>
    <n v="1200"/>
    <x v="7"/>
    <n v="8"/>
    <n v="2025"/>
    <x v="2"/>
  </r>
  <r>
    <x v="587"/>
    <x v="203"/>
    <x v="419"/>
    <x v="0"/>
    <n v="50"/>
    <x v="2"/>
    <x v="1"/>
    <n v="30"/>
    <n v="60"/>
    <x v="7"/>
    <n v="8"/>
    <n v="2025"/>
    <x v="1"/>
  </r>
  <r>
    <x v="588"/>
    <x v="203"/>
    <x v="420"/>
    <x v="0"/>
    <n v="64"/>
    <x v="0"/>
    <x v="1"/>
    <n v="500"/>
    <n v="1000"/>
    <x v="7"/>
    <n v="8"/>
    <n v="2025"/>
    <x v="1"/>
  </r>
  <r>
    <x v="589"/>
    <x v="203"/>
    <x v="421"/>
    <x v="0"/>
    <n v="57"/>
    <x v="1"/>
    <x v="0"/>
    <n v="300"/>
    <n v="900"/>
    <x v="7"/>
    <n v="8"/>
    <n v="2025"/>
    <x v="1"/>
  </r>
  <r>
    <x v="590"/>
    <x v="203"/>
    <x v="422"/>
    <x v="1"/>
    <n v="60"/>
    <x v="2"/>
    <x v="3"/>
    <n v="25"/>
    <n v="100"/>
    <x v="7"/>
    <n v="8"/>
    <n v="2025"/>
    <x v="1"/>
  </r>
  <r>
    <x v="591"/>
    <x v="203"/>
    <x v="423"/>
    <x v="0"/>
    <n v="29"/>
    <x v="0"/>
    <x v="3"/>
    <n v="500"/>
    <n v="2000"/>
    <x v="7"/>
    <n v="8"/>
    <n v="2025"/>
    <x v="0"/>
  </r>
  <r>
    <x v="592"/>
    <x v="203"/>
    <x v="424"/>
    <x v="1"/>
    <n v="61"/>
    <x v="2"/>
    <x v="1"/>
    <n v="30"/>
    <n v="60"/>
    <x v="7"/>
    <n v="8"/>
    <n v="2025"/>
    <x v="1"/>
  </r>
  <r>
    <x v="593"/>
    <x v="204"/>
    <x v="425"/>
    <x v="1"/>
    <n v="53"/>
    <x v="2"/>
    <x v="1"/>
    <n v="300"/>
    <n v="600"/>
    <x v="7"/>
    <n v="8"/>
    <n v="2025"/>
    <x v="1"/>
  </r>
  <r>
    <x v="594"/>
    <x v="204"/>
    <x v="426"/>
    <x v="0"/>
    <n v="21"/>
    <x v="1"/>
    <x v="3"/>
    <n v="500"/>
    <n v="2000"/>
    <x v="7"/>
    <n v="8"/>
    <n v="2025"/>
    <x v="3"/>
  </r>
  <r>
    <x v="595"/>
    <x v="205"/>
    <x v="427"/>
    <x v="0"/>
    <n v="22"/>
    <x v="2"/>
    <x v="2"/>
    <n v="300"/>
    <n v="300"/>
    <x v="7"/>
    <n v="8"/>
    <n v="2025"/>
    <x v="3"/>
  </r>
  <r>
    <x v="596"/>
    <x v="205"/>
    <x v="428"/>
    <x v="1"/>
    <n v="54"/>
    <x v="0"/>
    <x v="3"/>
    <n v="300"/>
    <n v="1200"/>
    <x v="7"/>
    <n v="8"/>
    <n v="2025"/>
    <x v="1"/>
  </r>
  <r>
    <x v="597"/>
    <x v="206"/>
    <x v="429"/>
    <x v="0"/>
    <n v="25"/>
    <x v="0"/>
    <x v="3"/>
    <n v="30"/>
    <n v="120"/>
    <x v="7"/>
    <n v="8"/>
    <n v="2025"/>
    <x v="3"/>
  </r>
  <r>
    <x v="598"/>
    <x v="206"/>
    <x v="430"/>
    <x v="1"/>
    <n v="59"/>
    <x v="0"/>
    <x v="1"/>
    <n v="50"/>
    <n v="100"/>
    <x v="7"/>
    <n v="8"/>
    <n v="2025"/>
    <x v="1"/>
  </r>
  <r>
    <x v="599"/>
    <x v="206"/>
    <x v="431"/>
    <x v="1"/>
    <n v="45"/>
    <x v="0"/>
    <x v="1"/>
    <n v="500"/>
    <n v="1000"/>
    <x v="7"/>
    <n v="8"/>
    <n v="2025"/>
    <x v="2"/>
  </r>
  <r>
    <x v="600"/>
    <x v="206"/>
    <x v="17"/>
    <x v="1"/>
    <n v="48"/>
    <x v="1"/>
    <x v="2"/>
    <n v="30"/>
    <n v="30"/>
    <x v="7"/>
    <n v="8"/>
    <n v="2025"/>
    <x v="1"/>
  </r>
  <r>
    <x v="601"/>
    <x v="207"/>
    <x v="432"/>
    <x v="1"/>
    <n v="26"/>
    <x v="2"/>
    <x v="2"/>
    <n v="300"/>
    <n v="300"/>
    <x v="7"/>
    <n v="8"/>
    <n v="2025"/>
    <x v="0"/>
  </r>
  <r>
    <x v="602"/>
    <x v="207"/>
    <x v="110"/>
    <x v="1"/>
    <n v="46"/>
    <x v="1"/>
    <x v="0"/>
    <n v="30"/>
    <n v="90"/>
    <x v="7"/>
    <n v="8"/>
    <n v="2025"/>
    <x v="1"/>
  </r>
  <r>
    <x v="603"/>
    <x v="207"/>
    <x v="433"/>
    <x v="0"/>
    <n v="31"/>
    <x v="2"/>
    <x v="3"/>
    <n v="50"/>
    <n v="200"/>
    <x v="7"/>
    <n v="8"/>
    <n v="2025"/>
    <x v="0"/>
  </r>
  <r>
    <x v="604"/>
    <x v="207"/>
    <x v="112"/>
    <x v="0"/>
    <n v="57"/>
    <x v="2"/>
    <x v="1"/>
    <n v="500"/>
    <n v="1000"/>
    <x v="7"/>
    <n v="8"/>
    <n v="2025"/>
    <x v="1"/>
  </r>
  <r>
    <x v="605"/>
    <x v="208"/>
    <x v="434"/>
    <x v="1"/>
    <n v="58"/>
    <x v="2"/>
    <x v="2"/>
    <n v="50"/>
    <n v="50"/>
    <x v="7"/>
    <n v="8"/>
    <n v="2025"/>
    <x v="1"/>
  </r>
  <r>
    <x v="606"/>
    <x v="209"/>
    <x v="107"/>
    <x v="1"/>
    <n v="39"/>
    <x v="1"/>
    <x v="0"/>
    <n v="25"/>
    <n v="75"/>
    <x v="7"/>
    <n v="8"/>
    <n v="2025"/>
    <x v="2"/>
  </r>
  <r>
    <x v="607"/>
    <x v="209"/>
    <x v="435"/>
    <x v="0"/>
    <n v="28"/>
    <x v="2"/>
    <x v="0"/>
    <n v="500"/>
    <n v="1500"/>
    <x v="7"/>
    <n v="8"/>
    <n v="2025"/>
    <x v="0"/>
  </r>
  <r>
    <x v="608"/>
    <x v="209"/>
    <x v="212"/>
    <x v="0"/>
    <n v="40"/>
    <x v="1"/>
    <x v="1"/>
    <n v="50"/>
    <n v="100"/>
    <x v="7"/>
    <n v="8"/>
    <n v="2025"/>
    <x v="2"/>
  </r>
  <r>
    <x v="609"/>
    <x v="210"/>
    <x v="436"/>
    <x v="1"/>
    <n v="18"/>
    <x v="0"/>
    <x v="1"/>
    <n v="300"/>
    <n v="600"/>
    <x v="7"/>
    <n v="8"/>
    <n v="2025"/>
    <x v="3"/>
  </r>
  <r>
    <x v="610"/>
    <x v="210"/>
    <x v="408"/>
    <x v="0"/>
    <n v="63"/>
    <x v="0"/>
    <x v="0"/>
    <n v="500"/>
    <n v="1500"/>
    <x v="7"/>
    <n v="8"/>
    <n v="2025"/>
    <x v="1"/>
  </r>
  <r>
    <x v="611"/>
    <x v="210"/>
    <x v="437"/>
    <x v="1"/>
    <n v="54"/>
    <x v="2"/>
    <x v="2"/>
    <n v="500"/>
    <n v="500"/>
    <x v="7"/>
    <n v="8"/>
    <n v="2025"/>
    <x v="1"/>
  </r>
  <r>
    <x v="612"/>
    <x v="210"/>
    <x v="409"/>
    <x v="0"/>
    <n v="38"/>
    <x v="1"/>
    <x v="0"/>
    <n v="30"/>
    <n v="90"/>
    <x v="7"/>
    <n v="8"/>
    <n v="2025"/>
    <x v="2"/>
  </r>
  <r>
    <x v="613"/>
    <x v="211"/>
    <x v="438"/>
    <x v="1"/>
    <n v="43"/>
    <x v="0"/>
    <x v="3"/>
    <n v="300"/>
    <n v="1200"/>
    <x v="7"/>
    <n v="8"/>
    <n v="2025"/>
    <x v="2"/>
  </r>
  <r>
    <x v="614"/>
    <x v="211"/>
    <x v="439"/>
    <x v="0"/>
    <n v="63"/>
    <x v="1"/>
    <x v="3"/>
    <n v="25"/>
    <n v="100"/>
    <x v="7"/>
    <n v="8"/>
    <n v="2025"/>
    <x v="1"/>
  </r>
  <r>
    <x v="615"/>
    <x v="212"/>
    <x v="440"/>
    <x v="1"/>
    <n v="53"/>
    <x v="1"/>
    <x v="1"/>
    <n v="50"/>
    <n v="100"/>
    <x v="7"/>
    <n v="8"/>
    <n v="2025"/>
    <x v="1"/>
  </r>
  <r>
    <x v="616"/>
    <x v="212"/>
    <x v="441"/>
    <x v="0"/>
    <n v="40"/>
    <x v="2"/>
    <x v="2"/>
    <n v="30"/>
    <n v="30"/>
    <x v="7"/>
    <n v="8"/>
    <n v="2025"/>
    <x v="2"/>
  </r>
  <r>
    <x v="617"/>
    <x v="213"/>
    <x v="442"/>
    <x v="0"/>
    <n v="18"/>
    <x v="0"/>
    <x v="3"/>
    <n v="50"/>
    <n v="200"/>
    <x v="7"/>
    <n v="8"/>
    <n v="2025"/>
    <x v="3"/>
  </r>
  <r>
    <x v="618"/>
    <x v="213"/>
    <x v="443"/>
    <x v="1"/>
    <n v="57"/>
    <x v="2"/>
    <x v="3"/>
    <n v="25"/>
    <n v="100"/>
    <x v="7"/>
    <n v="8"/>
    <n v="2025"/>
    <x v="1"/>
  </r>
  <r>
    <x v="619"/>
    <x v="213"/>
    <x v="444"/>
    <x v="0"/>
    <n v="32"/>
    <x v="2"/>
    <x v="0"/>
    <n v="25"/>
    <n v="75"/>
    <x v="7"/>
    <n v="8"/>
    <n v="2025"/>
    <x v="0"/>
  </r>
  <r>
    <x v="620"/>
    <x v="213"/>
    <x v="445"/>
    <x v="1"/>
    <n v="38"/>
    <x v="0"/>
    <x v="1"/>
    <n v="500"/>
    <n v="1000"/>
    <x v="7"/>
    <n v="8"/>
    <n v="2025"/>
    <x v="2"/>
  </r>
  <r>
    <x v="621"/>
    <x v="213"/>
    <x v="446"/>
    <x v="0"/>
    <n v="64"/>
    <x v="0"/>
    <x v="0"/>
    <n v="25"/>
    <n v="75"/>
    <x v="7"/>
    <n v="8"/>
    <n v="2025"/>
    <x v="1"/>
  </r>
  <r>
    <x v="622"/>
    <x v="213"/>
    <x v="447"/>
    <x v="1"/>
    <n v="26"/>
    <x v="1"/>
    <x v="0"/>
    <n v="50"/>
    <n v="150"/>
    <x v="7"/>
    <n v="8"/>
    <n v="2025"/>
    <x v="0"/>
  </r>
  <r>
    <x v="623"/>
    <x v="214"/>
    <x v="448"/>
    <x v="0"/>
    <n v="26"/>
    <x v="0"/>
    <x v="0"/>
    <n v="300"/>
    <n v="900"/>
    <x v="7"/>
    <n v="8"/>
    <n v="2025"/>
    <x v="0"/>
  </r>
  <r>
    <x v="624"/>
    <x v="215"/>
    <x v="138"/>
    <x v="1"/>
    <n v="27"/>
    <x v="1"/>
    <x v="2"/>
    <n v="300"/>
    <n v="300"/>
    <x v="7"/>
    <n v="8"/>
    <n v="2025"/>
    <x v="0"/>
  </r>
  <r>
    <x v="625"/>
    <x v="215"/>
    <x v="449"/>
    <x v="0"/>
    <n v="43"/>
    <x v="1"/>
    <x v="3"/>
    <n v="500"/>
    <n v="2000"/>
    <x v="7"/>
    <n v="8"/>
    <n v="2025"/>
    <x v="2"/>
  </r>
  <r>
    <x v="626"/>
    <x v="215"/>
    <x v="255"/>
    <x v="1"/>
    <n v="58"/>
    <x v="1"/>
    <x v="2"/>
    <n v="50"/>
    <n v="50"/>
    <x v="7"/>
    <n v="8"/>
    <n v="2025"/>
    <x v="1"/>
  </r>
  <r>
    <x v="627"/>
    <x v="216"/>
    <x v="450"/>
    <x v="0"/>
    <n v="52"/>
    <x v="0"/>
    <x v="3"/>
    <n v="50"/>
    <n v="200"/>
    <x v="7"/>
    <n v="8"/>
    <n v="2025"/>
    <x v="1"/>
  </r>
  <r>
    <x v="628"/>
    <x v="216"/>
    <x v="48"/>
    <x v="1"/>
    <n v="42"/>
    <x v="2"/>
    <x v="1"/>
    <n v="25"/>
    <n v="50"/>
    <x v="7"/>
    <n v="8"/>
    <n v="2025"/>
    <x v="2"/>
  </r>
  <r>
    <x v="629"/>
    <x v="216"/>
    <x v="451"/>
    <x v="1"/>
    <n v="43"/>
    <x v="1"/>
    <x v="1"/>
    <n v="50"/>
    <n v="100"/>
    <x v="7"/>
    <n v="8"/>
    <n v="2025"/>
    <x v="2"/>
  </r>
  <r>
    <x v="630"/>
    <x v="216"/>
    <x v="107"/>
    <x v="1"/>
    <n v="28"/>
    <x v="2"/>
    <x v="0"/>
    <n v="30"/>
    <n v="90"/>
    <x v="7"/>
    <n v="8"/>
    <n v="2025"/>
    <x v="0"/>
  </r>
  <r>
    <x v="631"/>
    <x v="217"/>
    <x v="452"/>
    <x v="0"/>
    <n v="55"/>
    <x v="2"/>
    <x v="3"/>
    <n v="25"/>
    <n v="100"/>
    <x v="7"/>
    <n v="8"/>
    <n v="2025"/>
    <x v="1"/>
  </r>
  <r>
    <x v="632"/>
    <x v="218"/>
    <x v="307"/>
    <x v="1"/>
    <n v="19"/>
    <x v="0"/>
    <x v="3"/>
    <n v="30"/>
    <n v="120"/>
    <x v="7"/>
    <n v="8"/>
    <n v="2025"/>
    <x v="3"/>
  </r>
  <r>
    <x v="633"/>
    <x v="218"/>
    <x v="453"/>
    <x v="0"/>
    <n v="24"/>
    <x v="2"/>
    <x v="3"/>
    <n v="500"/>
    <n v="2000"/>
    <x v="7"/>
    <n v="8"/>
    <n v="2025"/>
    <x v="3"/>
  </r>
  <r>
    <x v="634"/>
    <x v="218"/>
    <x v="411"/>
    <x v="1"/>
    <n v="35"/>
    <x v="2"/>
    <x v="0"/>
    <n v="300"/>
    <n v="900"/>
    <x v="7"/>
    <n v="8"/>
    <n v="2025"/>
    <x v="0"/>
  </r>
  <r>
    <x v="635"/>
    <x v="218"/>
    <x v="454"/>
    <x v="0"/>
    <n v="44"/>
    <x v="0"/>
    <x v="0"/>
    <n v="500"/>
    <n v="1500"/>
    <x v="7"/>
    <n v="8"/>
    <n v="2025"/>
    <x v="2"/>
  </r>
  <r>
    <x v="636"/>
    <x v="218"/>
    <x v="455"/>
    <x v="1"/>
    <n v="51"/>
    <x v="1"/>
    <x v="1"/>
    <n v="300"/>
    <n v="600"/>
    <x v="7"/>
    <n v="8"/>
    <n v="2025"/>
    <x v="1"/>
  </r>
  <r>
    <x v="637"/>
    <x v="218"/>
    <x v="456"/>
    <x v="0"/>
    <n v="44"/>
    <x v="2"/>
    <x v="2"/>
    <n v="500"/>
    <n v="500"/>
    <x v="7"/>
    <n v="8"/>
    <n v="2025"/>
    <x v="2"/>
  </r>
  <r>
    <x v="638"/>
    <x v="219"/>
    <x v="457"/>
    <x v="0"/>
    <n v="34"/>
    <x v="0"/>
    <x v="3"/>
    <n v="50"/>
    <n v="200"/>
    <x v="7"/>
    <n v="8"/>
    <n v="2025"/>
    <x v="0"/>
  </r>
  <r>
    <x v="639"/>
    <x v="219"/>
    <x v="458"/>
    <x v="1"/>
    <n v="60"/>
    <x v="2"/>
    <x v="3"/>
    <n v="30"/>
    <n v="120"/>
    <x v="7"/>
    <n v="8"/>
    <n v="2025"/>
    <x v="1"/>
  </r>
  <r>
    <x v="640"/>
    <x v="220"/>
    <x v="459"/>
    <x v="0"/>
    <n v="61"/>
    <x v="2"/>
    <x v="2"/>
    <n v="300"/>
    <n v="300"/>
    <x v="7"/>
    <n v="8"/>
    <n v="2025"/>
    <x v="1"/>
  </r>
  <r>
    <x v="641"/>
    <x v="220"/>
    <x v="460"/>
    <x v="0"/>
    <n v="41"/>
    <x v="1"/>
    <x v="3"/>
    <n v="25"/>
    <n v="100"/>
    <x v="7"/>
    <n v="8"/>
    <n v="2025"/>
    <x v="2"/>
  </r>
  <r>
    <x v="642"/>
    <x v="220"/>
    <x v="461"/>
    <x v="1"/>
    <n v="42"/>
    <x v="2"/>
    <x v="0"/>
    <n v="30"/>
    <n v="90"/>
    <x v="7"/>
    <n v="8"/>
    <n v="2025"/>
    <x v="2"/>
  </r>
  <r>
    <x v="643"/>
    <x v="221"/>
    <x v="462"/>
    <x v="0"/>
    <n v="24"/>
    <x v="0"/>
    <x v="0"/>
    <n v="25"/>
    <n v="75"/>
    <x v="7"/>
    <n v="8"/>
    <n v="2025"/>
    <x v="3"/>
  </r>
  <r>
    <x v="644"/>
    <x v="221"/>
    <x v="463"/>
    <x v="0"/>
    <n v="23"/>
    <x v="2"/>
    <x v="3"/>
    <n v="30"/>
    <n v="120"/>
    <x v="7"/>
    <n v="8"/>
    <n v="2025"/>
    <x v="3"/>
  </r>
  <r>
    <x v="645"/>
    <x v="221"/>
    <x v="75"/>
    <x v="0"/>
    <n v="41"/>
    <x v="1"/>
    <x v="0"/>
    <n v="30"/>
    <n v="90"/>
    <x v="7"/>
    <n v="8"/>
    <n v="2025"/>
    <x v="2"/>
  </r>
  <r>
    <x v="646"/>
    <x v="222"/>
    <x v="464"/>
    <x v="1"/>
    <n v="50"/>
    <x v="1"/>
    <x v="0"/>
    <n v="500"/>
    <n v="1500"/>
    <x v="7"/>
    <n v="8"/>
    <n v="2025"/>
    <x v="1"/>
  </r>
  <r>
    <x v="647"/>
    <x v="222"/>
    <x v="138"/>
    <x v="0"/>
    <n v="46"/>
    <x v="0"/>
    <x v="3"/>
    <n v="300"/>
    <n v="1200"/>
    <x v="7"/>
    <n v="8"/>
    <n v="2025"/>
    <x v="1"/>
  </r>
  <r>
    <x v="648"/>
    <x v="222"/>
    <x v="465"/>
    <x v="1"/>
    <n v="60"/>
    <x v="1"/>
    <x v="1"/>
    <n v="300"/>
    <n v="600"/>
    <x v="7"/>
    <n v="8"/>
    <n v="2025"/>
    <x v="1"/>
  </r>
  <r>
    <x v="649"/>
    <x v="223"/>
    <x v="255"/>
    <x v="0"/>
    <n v="39"/>
    <x v="2"/>
    <x v="2"/>
    <n v="30"/>
    <n v="30"/>
    <x v="7"/>
    <n v="8"/>
    <n v="2025"/>
    <x v="2"/>
  </r>
  <r>
    <x v="650"/>
    <x v="223"/>
    <x v="466"/>
    <x v="0"/>
    <n v="43"/>
    <x v="1"/>
    <x v="0"/>
    <n v="50"/>
    <n v="150"/>
    <x v="7"/>
    <n v="8"/>
    <n v="2025"/>
    <x v="2"/>
  </r>
  <r>
    <x v="651"/>
    <x v="223"/>
    <x v="48"/>
    <x v="0"/>
    <n v="45"/>
    <x v="0"/>
    <x v="1"/>
    <n v="50"/>
    <n v="100"/>
    <x v="7"/>
    <n v="8"/>
    <n v="2025"/>
    <x v="2"/>
  </r>
  <r>
    <x v="652"/>
    <x v="224"/>
    <x v="467"/>
    <x v="1"/>
    <n v="38"/>
    <x v="1"/>
    <x v="0"/>
    <n v="25"/>
    <n v="75"/>
    <x v="7"/>
    <n v="8"/>
    <n v="2025"/>
    <x v="2"/>
  </r>
  <r>
    <x v="653"/>
    <x v="224"/>
    <x v="107"/>
    <x v="0"/>
    <n v="24"/>
    <x v="1"/>
    <x v="0"/>
    <n v="25"/>
    <n v="75"/>
    <x v="7"/>
    <n v="8"/>
    <n v="2025"/>
    <x v="3"/>
  </r>
  <r>
    <x v="654"/>
    <x v="224"/>
    <x v="468"/>
    <x v="0"/>
    <n v="34"/>
    <x v="1"/>
    <x v="2"/>
    <n v="500"/>
    <n v="500"/>
    <x v="7"/>
    <n v="8"/>
    <n v="2025"/>
    <x v="0"/>
  </r>
  <r>
    <x v="655"/>
    <x v="224"/>
    <x v="307"/>
    <x v="1"/>
    <n v="37"/>
    <x v="0"/>
    <x v="0"/>
    <n v="30"/>
    <n v="90"/>
    <x v="7"/>
    <n v="8"/>
    <n v="2025"/>
    <x v="2"/>
  </r>
  <r>
    <x v="656"/>
    <x v="225"/>
    <x v="469"/>
    <x v="0"/>
    <n v="58"/>
    <x v="1"/>
    <x v="2"/>
    <n v="25"/>
    <n v="25"/>
    <x v="7"/>
    <n v="8"/>
    <n v="2025"/>
    <x v="1"/>
  </r>
  <r>
    <x v="657"/>
    <x v="225"/>
    <x v="411"/>
    <x v="1"/>
    <n v="37"/>
    <x v="1"/>
    <x v="0"/>
    <n v="25"/>
    <n v="75"/>
    <x v="7"/>
    <n v="8"/>
    <n v="2025"/>
    <x v="2"/>
  </r>
  <r>
    <x v="658"/>
    <x v="225"/>
    <x v="470"/>
    <x v="1"/>
    <n v="39"/>
    <x v="2"/>
    <x v="2"/>
    <n v="30"/>
    <n v="30"/>
    <x v="7"/>
    <n v="8"/>
    <n v="2025"/>
    <x v="2"/>
  </r>
  <r>
    <x v="659"/>
    <x v="226"/>
    <x v="471"/>
    <x v="0"/>
    <n v="45"/>
    <x v="0"/>
    <x v="1"/>
    <n v="500"/>
    <n v="1000"/>
    <x v="7"/>
    <n v="8"/>
    <n v="2025"/>
    <x v="2"/>
  </r>
  <r>
    <x v="660"/>
    <x v="226"/>
    <x v="472"/>
    <x v="1"/>
    <n v="57"/>
    <x v="1"/>
    <x v="3"/>
    <n v="25"/>
    <n v="100"/>
    <x v="7"/>
    <n v="8"/>
    <n v="2025"/>
    <x v="1"/>
  </r>
  <r>
    <x v="661"/>
    <x v="226"/>
    <x v="2"/>
    <x v="0"/>
    <n v="24"/>
    <x v="0"/>
    <x v="1"/>
    <n v="500"/>
    <n v="1000"/>
    <x v="7"/>
    <n v="8"/>
    <n v="2025"/>
    <x v="3"/>
  </r>
  <r>
    <x v="662"/>
    <x v="226"/>
    <x v="62"/>
    <x v="1"/>
    <n v="18"/>
    <x v="1"/>
    <x v="3"/>
    <n v="300"/>
    <n v="1200"/>
    <x v="7"/>
    <n v="8"/>
    <n v="2025"/>
    <x v="3"/>
  </r>
  <r>
    <x v="663"/>
    <x v="227"/>
    <x v="473"/>
    <x v="1"/>
    <n v="49"/>
    <x v="1"/>
    <x v="3"/>
    <n v="500"/>
    <n v="2000"/>
    <x v="7"/>
    <n v="8"/>
    <n v="2025"/>
    <x v="1"/>
  </r>
  <r>
    <x v="664"/>
    <x v="227"/>
    <x v="62"/>
    <x v="0"/>
    <n v="30"/>
    <x v="1"/>
    <x v="2"/>
    <n v="50"/>
    <n v="50"/>
    <x v="7"/>
    <n v="8"/>
    <n v="2025"/>
    <x v="0"/>
  </r>
  <r>
    <x v="665"/>
    <x v="227"/>
    <x v="474"/>
    <x v="1"/>
    <n v="47"/>
    <x v="2"/>
    <x v="0"/>
    <n v="50"/>
    <n v="150"/>
    <x v="7"/>
    <n v="8"/>
    <n v="2025"/>
    <x v="1"/>
  </r>
  <r>
    <x v="666"/>
    <x v="227"/>
    <x v="475"/>
    <x v="1"/>
    <n v="40"/>
    <x v="2"/>
    <x v="2"/>
    <n v="500"/>
    <n v="500"/>
    <x v="7"/>
    <n v="8"/>
    <n v="2025"/>
    <x v="2"/>
  </r>
  <r>
    <x v="667"/>
    <x v="227"/>
    <x v="476"/>
    <x v="1"/>
    <n v="36"/>
    <x v="2"/>
    <x v="0"/>
    <n v="50"/>
    <n v="150"/>
    <x v="7"/>
    <n v="8"/>
    <n v="2025"/>
    <x v="2"/>
  </r>
  <r>
    <x v="668"/>
    <x v="228"/>
    <x v="2"/>
    <x v="1"/>
    <n v="49"/>
    <x v="0"/>
    <x v="3"/>
    <n v="300"/>
    <n v="1200"/>
    <x v="8"/>
    <n v="9"/>
    <n v="2025"/>
    <x v="1"/>
  </r>
  <r>
    <x v="669"/>
    <x v="228"/>
    <x v="477"/>
    <x v="1"/>
    <n v="47"/>
    <x v="0"/>
    <x v="2"/>
    <n v="30"/>
    <n v="30"/>
    <x v="8"/>
    <n v="9"/>
    <n v="2025"/>
    <x v="1"/>
  </r>
  <r>
    <x v="670"/>
    <x v="228"/>
    <x v="212"/>
    <x v="0"/>
    <n v="46"/>
    <x v="2"/>
    <x v="0"/>
    <n v="50"/>
    <n v="150"/>
    <x v="8"/>
    <n v="9"/>
    <n v="2025"/>
    <x v="1"/>
  </r>
  <r>
    <x v="671"/>
    <x v="228"/>
    <x v="478"/>
    <x v="1"/>
    <n v="62"/>
    <x v="0"/>
    <x v="1"/>
    <n v="50"/>
    <n v="100"/>
    <x v="8"/>
    <n v="9"/>
    <n v="2025"/>
    <x v="1"/>
  </r>
  <r>
    <x v="672"/>
    <x v="229"/>
    <x v="72"/>
    <x v="0"/>
    <n v="46"/>
    <x v="1"/>
    <x v="0"/>
    <n v="500"/>
    <n v="1500"/>
    <x v="8"/>
    <n v="9"/>
    <n v="2025"/>
    <x v="1"/>
  </r>
  <r>
    <x v="673"/>
    <x v="229"/>
    <x v="479"/>
    <x v="1"/>
    <n v="47"/>
    <x v="1"/>
    <x v="2"/>
    <n v="300"/>
    <n v="300"/>
    <x v="8"/>
    <n v="9"/>
    <n v="2025"/>
    <x v="1"/>
  </r>
  <r>
    <x v="674"/>
    <x v="229"/>
    <x v="253"/>
    <x v="0"/>
    <n v="33"/>
    <x v="1"/>
    <x v="1"/>
    <n v="30"/>
    <n v="60"/>
    <x v="8"/>
    <n v="9"/>
    <n v="2025"/>
    <x v="0"/>
  </r>
  <r>
    <x v="675"/>
    <x v="230"/>
    <x v="480"/>
    <x v="0"/>
    <n v="57"/>
    <x v="2"/>
    <x v="0"/>
    <n v="500"/>
    <n v="1500"/>
    <x v="8"/>
    <n v="9"/>
    <n v="2025"/>
    <x v="1"/>
  </r>
  <r>
    <x v="676"/>
    <x v="231"/>
    <x v="286"/>
    <x v="1"/>
    <n v="36"/>
    <x v="0"/>
    <x v="0"/>
    <n v="500"/>
    <n v="1500"/>
    <x v="8"/>
    <n v="9"/>
    <n v="2025"/>
    <x v="2"/>
  </r>
  <r>
    <x v="677"/>
    <x v="232"/>
    <x v="481"/>
    <x v="1"/>
    <n v="35"/>
    <x v="2"/>
    <x v="0"/>
    <n v="300"/>
    <n v="900"/>
    <x v="8"/>
    <n v="9"/>
    <n v="2025"/>
    <x v="0"/>
  </r>
  <r>
    <x v="678"/>
    <x v="232"/>
    <x v="287"/>
    <x v="1"/>
    <n v="18"/>
    <x v="0"/>
    <x v="0"/>
    <n v="30"/>
    <n v="90"/>
    <x v="8"/>
    <n v="9"/>
    <n v="2025"/>
    <x v="3"/>
  </r>
  <r>
    <x v="679"/>
    <x v="233"/>
    <x v="482"/>
    <x v="0"/>
    <n v="31"/>
    <x v="1"/>
    <x v="0"/>
    <n v="300"/>
    <n v="900"/>
    <x v="8"/>
    <n v="9"/>
    <n v="2025"/>
    <x v="0"/>
  </r>
  <r>
    <x v="680"/>
    <x v="233"/>
    <x v="75"/>
    <x v="1"/>
    <n v="64"/>
    <x v="2"/>
    <x v="1"/>
    <n v="30"/>
    <n v="60"/>
    <x v="8"/>
    <n v="9"/>
    <n v="2025"/>
    <x v="1"/>
  </r>
  <r>
    <x v="681"/>
    <x v="233"/>
    <x v="483"/>
    <x v="1"/>
    <n v="31"/>
    <x v="0"/>
    <x v="3"/>
    <n v="300"/>
    <n v="1200"/>
    <x v="8"/>
    <n v="9"/>
    <n v="2025"/>
    <x v="0"/>
  </r>
  <r>
    <x v="682"/>
    <x v="233"/>
    <x v="304"/>
    <x v="0"/>
    <n v="55"/>
    <x v="0"/>
    <x v="1"/>
    <n v="500"/>
    <n v="1000"/>
    <x v="8"/>
    <n v="9"/>
    <n v="2025"/>
    <x v="1"/>
  </r>
  <r>
    <x v="683"/>
    <x v="233"/>
    <x v="484"/>
    <x v="0"/>
    <n v="53"/>
    <x v="1"/>
    <x v="1"/>
    <n v="500"/>
    <n v="1000"/>
    <x v="8"/>
    <n v="9"/>
    <n v="2025"/>
    <x v="1"/>
  </r>
  <r>
    <x v="684"/>
    <x v="234"/>
    <x v="485"/>
    <x v="0"/>
    <n v="50"/>
    <x v="2"/>
    <x v="1"/>
    <n v="25"/>
    <n v="50"/>
    <x v="8"/>
    <n v="9"/>
    <n v="2025"/>
    <x v="1"/>
  </r>
  <r>
    <x v="685"/>
    <x v="234"/>
    <x v="486"/>
    <x v="1"/>
    <n v="40"/>
    <x v="2"/>
    <x v="3"/>
    <n v="50"/>
    <n v="200"/>
    <x v="8"/>
    <n v="9"/>
    <n v="2025"/>
    <x v="2"/>
  </r>
  <r>
    <x v="686"/>
    <x v="234"/>
    <x v="487"/>
    <x v="0"/>
    <n v="61"/>
    <x v="2"/>
    <x v="2"/>
    <n v="300"/>
    <n v="300"/>
    <x v="8"/>
    <n v="9"/>
    <n v="2025"/>
    <x v="1"/>
  </r>
  <r>
    <x v="687"/>
    <x v="235"/>
    <x v="488"/>
    <x v="1"/>
    <n v="19"/>
    <x v="1"/>
    <x v="3"/>
    <n v="25"/>
    <n v="100"/>
    <x v="8"/>
    <n v="9"/>
    <n v="2025"/>
    <x v="3"/>
  </r>
  <r>
    <x v="688"/>
    <x v="235"/>
    <x v="489"/>
    <x v="0"/>
    <n v="19"/>
    <x v="2"/>
    <x v="1"/>
    <n v="50"/>
    <n v="100"/>
    <x v="8"/>
    <n v="9"/>
    <n v="2025"/>
    <x v="3"/>
  </r>
  <r>
    <x v="689"/>
    <x v="235"/>
    <x v="490"/>
    <x v="1"/>
    <n v="37"/>
    <x v="1"/>
    <x v="0"/>
    <n v="300"/>
    <n v="900"/>
    <x v="8"/>
    <n v="9"/>
    <n v="2025"/>
    <x v="2"/>
  </r>
  <r>
    <x v="690"/>
    <x v="235"/>
    <x v="491"/>
    <x v="0"/>
    <n v="54"/>
    <x v="1"/>
    <x v="0"/>
    <n v="30"/>
    <n v="90"/>
    <x v="8"/>
    <n v="9"/>
    <n v="2025"/>
    <x v="1"/>
  </r>
  <r>
    <x v="691"/>
    <x v="236"/>
    <x v="492"/>
    <x v="1"/>
    <n v="26"/>
    <x v="1"/>
    <x v="1"/>
    <n v="50"/>
    <n v="100"/>
    <x v="8"/>
    <n v="9"/>
    <n v="2025"/>
    <x v="0"/>
  </r>
  <r>
    <x v="692"/>
    <x v="236"/>
    <x v="305"/>
    <x v="0"/>
    <n v="22"/>
    <x v="0"/>
    <x v="0"/>
    <n v="500"/>
    <n v="1500"/>
    <x v="8"/>
    <n v="9"/>
    <n v="2025"/>
    <x v="3"/>
  </r>
  <r>
    <x v="693"/>
    <x v="236"/>
    <x v="493"/>
    <x v="1"/>
    <n v="28"/>
    <x v="2"/>
    <x v="1"/>
    <n v="25"/>
    <n v="50"/>
    <x v="8"/>
    <n v="9"/>
    <n v="2025"/>
    <x v="0"/>
  </r>
  <r>
    <x v="694"/>
    <x v="237"/>
    <x v="494"/>
    <x v="1"/>
    <n v="26"/>
    <x v="2"/>
    <x v="0"/>
    <n v="50"/>
    <n v="150"/>
    <x v="8"/>
    <n v="9"/>
    <n v="2025"/>
    <x v="0"/>
  </r>
  <r>
    <x v="695"/>
    <x v="238"/>
    <x v="495"/>
    <x v="0"/>
    <n v="51"/>
    <x v="1"/>
    <x v="3"/>
    <n v="50"/>
    <n v="200"/>
    <x v="8"/>
    <n v="9"/>
    <n v="2025"/>
    <x v="1"/>
  </r>
  <r>
    <x v="696"/>
    <x v="238"/>
    <x v="408"/>
    <x v="1"/>
    <n v="52"/>
    <x v="1"/>
    <x v="2"/>
    <n v="500"/>
    <n v="500"/>
    <x v="8"/>
    <n v="9"/>
    <n v="2025"/>
    <x v="1"/>
  </r>
  <r>
    <x v="697"/>
    <x v="239"/>
    <x v="496"/>
    <x v="1"/>
    <n v="52"/>
    <x v="2"/>
    <x v="2"/>
    <n v="300"/>
    <n v="300"/>
    <x v="8"/>
    <n v="9"/>
    <n v="2025"/>
    <x v="1"/>
  </r>
  <r>
    <x v="698"/>
    <x v="240"/>
    <x v="497"/>
    <x v="0"/>
    <n v="57"/>
    <x v="1"/>
    <x v="3"/>
    <n v="30"/>
    <n v="120"/>
    <x v="8"/>
    <n v="9"/>
    <n v="2025"/>
    <x v="1"/>
  </r>
  <r>
    <x v="699"/>
    <x v="241"/>
    <x v="204"/>
    <x v="1"/>
    <n v="46"/>
    <x v="2"/>
    <x v="3"/>
    <n v="500"/>
    <n v="2000"/>
    <x v="8"/>
    <n v="9"/>
    <n v="2025"/>
    <x v="1"/>
  </r>
  <r>
    <x v="700"/>
    <x v="242"/>
    <x v="498"/>
    <x v="0"/>
    <n v="28"/>
    <x v="0"/>
    <x v="1"/>
    <n v="30"/>
    <n v="60"/>
    <x v="8"/>
    <n v="9"/>
    <n v="2025"/>
    <x v="0"/>
  </r>
  <r>
    <x v="701"/>
    <x v="242"/>
    <x v="499"/>
    <x v="0"/>
    <n v="58"/>
    <x v="1"/>
    <x v="1"/>
    <n v="300"/>
    <n v="600"/>
    <x v="8"/>
    <n v="9"/>
    <n v="2025"/>
    <x v="1"/>
  </r>
  <r>
    <x v="702"/>
    <x v="242"/>
    <x v="301"/>
    <x v="1"/>
    <n v="54"/>
    <x v="2"/>
    <x v="1"/>
    <n v="50"/>
    <n v="100"/>
    <x v="8"/>
    <n v="9"/>
    <n v="2025"/>
    <x v="1"/>
  </r>
  <r>
    <x v="703"/>
    <x v="243"/>
    <x v="500"/>
    <x v="0"/>
    <n v="31"/>
    <x v="1"/>
    <x v="0"/>
    <n v="30"/>
    <n v="90"/>
    <x v="8"/>
    <n v="9"/>
    <n v="2025"/>
    <x v="0"/>
  </r>
  <r>
    <x v="704"/>
    <x v="243"/>
    <x v="62"/>
    <x v="1"/>
    <n v="22"/>
    <x v="2"/>
    <x v="1"/>
    <n v="25"/>
    <n v="50"/>
    <x v="8"/>
    <n v="9"/>
    <n v="2025"/>
    <x v="3"/>
  </r>
  <r>
    <x v="705"/>
    <x v="243"/>
    <x v="501"/>
    <x v="0"/>
    <n v="21"/>
    <x v="2"/>
    <x v="3"/>
    <n v="25"/>
    <n v="100"/>
    <x v="8"/>
    <n v="9"/>
    <n v="2025"/>
    <x v="3"/>
  </r>
  <r>
    <x v="706"/>
    <x v="243"/>
    <x v="25"/>
    <x v="0"/>
    <n v="62"/>
    <x v="1"/>
    <x v="2"/>
    <n v="500"/>
    <n v="500"/>
    <x v="8"/>
    <n v="9"/>
    <n v="2025"/>
    <x v="1"/>
  </r>
  <r>
    <x v="707"/>
    <x v="243"/>
    <x v="502"/>
    <x v="0"/>
    <n v="42"/>
    <x v="0"/>
    <x v="0"/>
    <n v="300"/>
    <n v="900"/>
    <x v="8"/>
    <n v="9"/>
    <n v="2025"/>
    <x v="2"/>
  </r>
  <r>
    <x v="708"/>
    <x v="244"/>
    <x v="112"/>
    <x v="1"/>
    <n v="35"/>
    <x v="2"/>
    <x v="1"/>
    <n v="500"/>
    <n v="1000"/>
    <x v="8"/>
    <n v="9"/>
    <n v="2025"/>
    <x v="0"/>
  </r>
  <r>
    <x v="709"/>
    <x v="244"/>
    <x v="503"/>
    <x v="0"/>
    <n v="57"/>
    <x v="2"/>
    <x v="0"/>
    <n v="500"/>
    <n v="1500"/>
    <x v="8"/>
    <n v="9"/>
    <n v="2025"/>
    <x v="1"/>
  </r>
  <r>
    <x v="710"/>
    <x v="244"/>
    <x v="210"/>
    <x v="0"/>
    <n v="31"/>
    <x v="2"/>
    <x v="0"/>
    <n v="500"/>
    <n v="1500"/>
    <x v="8"/>
    <n v="9"/>
    <n v="2025"/>
    <x v="0"/>
  </r>
  <r>
    <x v="711"/>
    <x v="245"/>
    <x v="504"/>
    <x v="1"/>
    <n v="55"/>
    <x v="0"/>
    <x v="1"/>
    <n v="25"/>
    <n v="50"/>
    <x v="8"/>
    <n v="9"/>
    <n v="2025"/>
    <x v="1"/>
  </r>
  <r>
    <x v="712"/>
    <x v="245"/>
    <x v="505"/>
    <x v="0"/>
    <n v="50"/>
    <x v="0"/>
    <x v="0"/>
    <n v="25"/>
    <n v="75"/>
    <x v="8"/>
    <n v="9"/>
    <n v="2025"/>
    <x v="1"/>
  </r>
  <r>
    <x v="713"/>
    <x v="246"/>
    <x v="506"/>
    <x v="1"/>
    <n v="40"/>
    <x v="1"/>
    <x v="2"/>
    <n v="500"/>
    <n v="500"/>
    <x v="8"/>
    <n v="9"/>
    <n v="2025"/>
    <x v="2"/>
  </r>
  <r>
    <x v="714"/>
    <x v="246"/>
    <x v="507"/>
    <x v="1"/>
    <n v="34"/>
    <x v="0"/>
    <x v="3"/>
    <n v="25"/>
    <n v="100"/>
    <x v="8"/>
    <n v="9"/>
    <n v="2025"/>
    <x v="0"/>
  </r>
  <r>
    <x v="715"/>
    <x v="247"/>
    <x v="508"/>
    <x v="1"/>
    <n v="57"/>
    <x v="1"/>
    <x v="3"/>
    <n v="300"/>
    <n v="1200"/>
    <x v="8"/>
    <n v="9"/>
    <n v="2025"/>
    <x v="1"/>
  </r>
  <r>
    <x v="716"/>
    <x v="247"/>
    <x v="509"/>
    <x v="0"/>
    <n v="23"/>
    <x v="1"/>
    <x v="2"/>
    <n v="500"/>
    <n v="500"/>
    <x v="8"/>
    <n v="9"/>
    <n v="2025"/>
    <x v="3"/>
  </r>
  <r>
    <x v="717"/>
    <x v="248"/>
    <x v="72"/>
    <x v="0"/>
    <n v="23"/>
    <x v="0"/>
    <x v="0"/>
    <n v="25"/>
    <n v="75"/>
    <x v="8"/>
    <n v="9"/>
    <n v="2025"/>
    <x v="3"/>
  </r>
  <r>
    <x v="718"/>
    <x v="249"/>
    <x v="510"/>
    <x v="0"/>
    <n v="56"/>
    <x v="1"/>
    <x v="1"/>
    <n v="30"/>
    <n v="60"/>
    <x v="8"/>
    <n v="9"/>
    <n v="2025"/>
    <x v="1"/>
  </r>
  <r>
    <x v="719"/>
    <x v="249"/>
    <x v="136"/>
    <x v="0"/>
    <n v="50"/>
    <x v="0"/>
    <x v="0"/>
    <n v="500"/>
    <n v="1500"/>
    <x v="8"/>
    <n v="9"/>
    <n v="2025"/>
    <x v="1"/>
  </r>
  <r>
    <x v="720"/>
    <x v="250"/>
    <x v="511"/>
    <x v="1"/>
    <n v="54"/>
    <x v="1"/>
    <x v="2"/>
    <n v="500"/>
    <n v="500"/>
    <x v="8"/>
    <n v="9"/>
    <n v="2025"/>
    <x v="1"/>
  </r>
  <r>
    <x v="721"/>
    <x v="250"/>
    <x v="254"/>
    <x v="0"/>
    <n v="50"/>
    <x v="0"/>
    <x v="0"/>
    <n v="300"/>
    <n v="900"/>
    <x v="8"/>
    <n v="9"/>
    <n v="2025"/>
    <x v="1"/>
  </r>
  <r>
    <x v="722"/>
    <x v="250"/>
    <x v="512"/>
    <x v="0"/>
    <n v="39"/>
    <x v="0"/>
    <x v="3"/>
    <n v="50"/>
    <n v="200"/>
    <x v="8"/>
    <n v="9"/>
    <n v="2025"/>
    <x v="2"/>
  </r>
  <r>
    <x v="723"/>
    <x v="251"/>
    <x v="327"/>
    <x v="0"/>
    <n v="50"/>
    <x v="1"/>
    <x v="0"/>
    <n v="50"/>
    <n v="150"/>
    <x v="8"/>
    <n v="9"/>
    <n v="2025"/>
    <x v="1"/>
  </r>
  <r>
    <x v="724"/>
    <x v="252"/>
    <x v="513"/>
    <x v="0"/>
    <n v="46"/>
    <x v="2"/>
    <x v="2"/>
    <n v="300"/>
    <n v="300"/>
    <x v="8"/>
    <n v="9"/>
    <n v="2025"/>
    <x v="1"/>
  </r>
  <r>
    <x v="725"/>
    <x v="252"/>
    <x v="75"/>
    <x v="1"/>
    <n v="46"/>
    <x v="1"/>
    <x v="3"/>
    <n v="300"/>
    <n v="1200"/>
    <x v="8"/>
    <n v="9"/>
    <n v="2025"/>
    <x v="1"/>
  </r>
  <r>
    <x v="726"/>
    <x v="252"/>
    <x v="514"/>
    <x v="1"/>
    <n v="21"/>
    <x v="0"/>
    <x v="0"/>
    <n v="300"/>
    <n v="900"/>
    <x v="8"/>
    <n v="9"/>
    <n v="2025"/>
    <x v="3"/>
  </r>
  <r>
    <x v="727"/>
    <x v="253"/>
    <x v="138"/>
    <x v="0"/>
    <n v="62"/>
    <x v="2"/>
    <x v="0"/>
    <n v="50"/>
    <n v="150"/>
    <x v="8"/>
    <n v="9"/>
    <n v="2025"/>
    <x v="1"/>
  </r>
  <r>
    <x v="728"/>
    <x v="253"/>
    <x v="515"/>
    <x v="1"/>
    <n v="19"/>
    <x v="1"/>
    <x v="3"/>
    <n v="300"/>
    <n v="1200"/>
    <x v="8"/>
    <n v="9"/>
    <n v="2025"/>
    <x v="3"/>
  </r>
  <r>
    <x v="729"/>
    <x v="253"/>
    <x v="255"/>
    <x v="0"/>
    <n v="53"/>
    <x v="1"/>
    <x v="1"/>
    <n v="25"/>
    <n v="50"/>
    <x v="8"/>
    <n v="9"/>
    <n v="2025"/>
    <x v="1"/>
  </r>
  <r>
    <x v="730"/>
    <x v="253"/>
    <x v="516"/>
    <x v="0"/>
    <n v="19"/>
    <x v="1"/>
    <x v="3"/>
    <n v="500"/>
    <n v="2000"/>
    <x v="8"/>
    <n v="9"/>
    <n v="2025"/>
    <x v="3"/>
  </r>
  <r>
    <x v="731"/>
    <x v="254"/>
    <x v="328"/>
    <x v="0"/>
    <n v="45"/>
    <x v="2"/>
    <x v="1"/>
    <n v="500"/>
    <n v="1000"/>
    <x v="8"/>
    <n v="9"/>
    <n v="2025"/>
    <x v="2"/>
  </r>
  <r>
    <x v="732"/>
    <x v="254"/>
    <x v="517"/>
    <x v="0"/>
    <n v="47"/>
    <x v="0"/>
    <x v="2"/>
    <n v="30"/>
    <n v="30"/>
    <x v="8"/>
    <n v="9"/>
    <n v="2025"/>
    <x v="1"/>
  </r>
  <r>
    <x v="733"/>
    <x v="255"/>
    <x v="289"/>
    <x v="1"/>
    <n v="55"/>
    <x v="1"/>
    <x v="2"/>
    <n v="30"/>
    <n v="30"/>
    <x v="9"/>
    <n v="10"/>
    <n v="2025"/>
    <x v="1"/>
  </r>
  <r>
    <x v="734"/>
    <x v="255"/>
    <x v="518"/>
    <x v="1"/>
    <n v="21"/>
    <x v="1"/>
    <x v="3"/>
    <n v="500"/>
    <n v="2000"/>
    <x v="9"/>
    <n v="10"/>
    <n v="2025"/>
    <x v="3"/>
  </r>
  <r>
    <x v="735"/>
    <x v="255"/>
    <x v="184"/>
    <x v="0"/>
    <n v="18"/>
    <x v="1"/>
    <x v="3"/>
    <n v="25"/>
    <n v="100"/>
    <x v="9"/>
    <n v="10"/>
    <n v="2025"/>
    <x v="3"/>
  </r>
  <r>
    <x v="736"/>
    <x v="256"/>
    <x v="519"/>
    <x v="0"/>
    <n v="25"/>
    <x v="1"/>
    <x v="2"/>
    <n v="50"/>
    <n v="50"/>
    <x v="9"/>
    <n v="10"/>
    <n v="2025"/>
    <x v="3"/>
  </r>
  <r>
    <x v="737"/>
    <x v="256"/>
    <x v="286"/>
    <x v="1"/>
    <n v="46"/>
    <x v="1"/>
    <x v="1"/>
    <n v="50"/>
    <n v="100"/>
    <x v="9"/>
    <n v="10"/>
    <n v="2025"/>
    <x v="1"/>
  </r>
  <r>
    <x v="738"/>
    <x v="256"/>
    <x v="520"/>
    <x v="0"/>
    <n v="56"/>
    <x v="0"/>
    <x v="2"/>
    <n v="25"/>
    <n v="25"/>
    <x v="9"/>
    <n v="10"/>
    <n v="2025"/>
    <x v="1"/>
  </r>
  <r>
    <x v="739"/>
    <x v="256"/>
    <x v="355"/>
    <x v="1"/>
    <n v="20"/>
    <x v="0"/>
    <x v="3"/>
    <n v="50"/>
    <n v="200"/>
    <x v="9"/>
    <n v="10"/>
    <n v="2025"/>
    <x v="3"/>
  </r>
  <r>
    <x v="740"/>
    <x v="256"/>
    <x v="521"/>
    <x v="0"/>
    <n v="49"/>
    <x v="1"/>
    <x v="2"/>
    <n v="300"/>
    <n v="300"/>
    <x v="9"/>
    <n v="10"/>
    <n v="2025"/>
    <x v="1"/>
  </r>
  <r>
    <x v="741"/>
    <x v="257"/>
    <x v="25"/>
    <x v="1"/>
    <n v="27"/>
    <x v="2"/>
    <x v="3"/>
    <n v="500"/>
    <n v="2000"/>
    <x v="9"/>
    <n v="10"/>
    <n v="2025"/>
    <x v="0"/>
  </r>
  <r>
    <x v="742"/>
    <x v="257"/>
    <x v="522"/>
    <x v="0"/>
    <n v="27"/>
    <x v="0"/>
    <x v="3"/>
    <n v="500"/>
    <n v="2000"/>
    <x v="9"/>
    <n v="10"/>
    <n v="2025"/>
    <x v="0"/>
  </r>
  <r>
    <x v="743"/>
    <x v="257"/>
    <x v="112"/>
    <x v="1"/>
    <n v="36"/>
    <x v="2"/>
    <x v="2"/>
    <n v="25"/>
    <n v="25"/>
    <x v="9"/>
    <n v="10"/>
    <n v="2025"/>
    <x v="2"/>
  </r>
  <r>
    <x v="744"/>
    <x v="257"/>
    <x v="523"/>
    <x v="0"/>
    <n v="63"/>
    <x v="0"/>
    <x v="1"/>
    <n v="50"/>
    <n v="100"/>
    <x v="9"/>
    <n v="10"/>
    <n v="2025"/>
    <x v="1"/>
  </r>
  <r>
    <x v="745"/>
    <x v="257"/>
    <x v="210"/>
    <x v="1"/>
    <n v="51"/>
    <x v="1"/>
    <x v="0"/>
    <n v="30"/>
    <n v="90"/>
    <x v="9"/>
    <n v="10"/>
    <n v="2025"/>
    <x v="1"/>
  </r>
  <r>
    <x v="746"/>
    <x v="258"/>
    <x v="524"/>
    <x v="1"/>
    <n v="50"/>
    <x v="0"/>
    <x v="2"/>
    <n v="30"/>
    <n v="30"/>
    <x v="9"/>
    <n v="10"/>
    <n v="2025"/>
    <x v="1"/>
  </r>
  <r>
    <x v="747"/>
    <x v="258"/>
    <x v="525"/>
    <x v="0"/>
    <n v="40"/>
    <x v="1"/>
    <x v="0"/>
    <n v="50"/>
    <n v="150"/>
    <x v="9"/>
    <n v="10"/>
    <n v="2025"/>
    <x v="2"/>
  </r>
  <r>
    <x v="748"/>
    <x v="258"/>
    <x v="526"/>
    <x v="0"/>
    <n v="45"/>
    <x v="0"/>
    <x v="2"/>
    <n v="30"/>
    <n v="30"/>
    <x v="9"/>
    <n v="10"/>
    <n v="2025"/>
    <x v="2"/>
  </r>
  <r>
    <x v="749"/>
    <x v="258"/>
    <x v="527"/>
    <x v="1"/>
    <n v="49"/>
    <x v="1"/>
    <x v="0"/>
    <n v="25"/>
    <n v="75"/>
    <x v="9"/>
    <n v="10"/>
    <n v="2025"/>
    <x v="1"/>
  </r>
  <r>
    <x v="750"/>
    <x v="258"/>
    <x v="528"/>
    <x v="0"/>
    <n v="24"/>
    <x v="1"/>
    <x v="1"/>
    <n v="25"/>
    <n v="50"/>
    <x v="9"/>
    <n v="10"/>
    <n v="2025"/>
    <x v="3"/>
  </r>
  <r>
    <x v="751"/>
    <x v="258"/>
    <x v="529"/>
    <x v="1"/>
    <n v="46"/>
    <x v="1"/>
    <x v="1"/>
    <n v="50"/>
    <n v="100"/>
    <x v="9"/>
    <n v="10"/>
    <n v="2025"/>
    <x v="1"/>
  </r>
  <r>
    <x v="752"/>
    <x v="259"/>
    <x v="530"/>
    <x v="0"/>
    <n v="25"/>
    <x v="1"/>
    <x v="2"/>
    <n v="30"/>
    <n v="30"/>
    <x v="9"/>
    <n v="10"/>
    <n v="2025"/>
    <x v="3"/>
  </r>
  <r>
    <x v="753"/>
    <x v="259"/>
    <x v="531"/>
    <x v="1"/>
    <n v="18"/>
    <x v="2"/>
    <x v="3"/>
    <n v="25"/>
    <n v="100"/>
    <x v="9"/>
    <n v="10"/>
    <n v="2025"/>
    <x v="3"/>
  </r>
  <r>
    <x v="754"/>
    <x v="260"/>
    <x v="75"/>
    <x v="1"/>
    <n v="20"/>
    <x v="1"/>
    <x v="0"/>
    <n v="25"/>
    <n v="75"/>
    <x v="9"/>
    <n v="10"/>
    <n v="2025"/>
    <x v="3"/>
  </r>
  <r>
    <x v="755"/>
    <x v="261"/>
    <x v="532"/>
    <x v="1"/>
    <n v="41"/>
    <x v="2"/>
    <x v="3"/>
    <n v="300"/>
    <n v="1200"/>
    <x v="9"/>
    <n v="10"/>
    <n v="2025"/>
    <x v="2"/>
  </r>
  <r>
    <x v="756"/>
    <x v="261"/>
    <x v="138"/>
    <x v="1"/>
    <n v="40"/>
    <x v="2"/>
    <x v="3"/>
    <n v="300"/>
    <n v="1200"/>
    <x v="9"/>
    <n v="10"/>
    <n v="2025"/>
    <x v="2"/>
  </r>
  <r>
    <x v="757"/>
    <x v="261"/>
    <x v="533"/>
    <x v="1"/>
    <n v="25"/>
    <x v="1"/>
    <x v="3"/>
    <n v="25"/>
    <n v="100"/>
    <x v="9"/>
    <n v="10"/>
    <n v="2025"/>
    <x v="3"/>
  </r>
  <r>
    <x v="758"/>
    <x v="261"/>
    <x v="255"/>
    <x v="1"/>
    <n v="64"/>
    <x v="2"/>
    <x v="1"/>
    <n v="50"/>
    <n v="100"/>
    <x v="9"/>
    <n v="10"/>
    <n v="2025"/>
    <x v="1"/>
  </r>
  <r>
    <x v="759"/>
    <x v="262"/>
    <x v="534"/>
    <x v="0"/>
    <n v="54"/>
    <x v="0"/>
    <x v="2"/>
    <n v="500"/>
    <n v="500"/>
    <x v="9"/>
    <n v="10"/>
    <n v="2025"/>
    <x v="1"/>
  </r>
  <r>
    <x v="760"/>
    <x v="262"/>
    <x v="48"/>
    <x v="0"/>
    <n v="20"/>
    <x v="1"/>
    <x v="2"/>
    <n v="500"/>
    <n v="500"/>
    <x v="9"/>
    <n v="10"/>
    <n v="2025"/>
    <x v="3"/>
  </r>
  <r>
    <x v="761"/>
    <x v="263"/>
    <x v="535"/>
    <x v="0"/>
    <n v="50"/>
    <x v="2"/>
    <x v="1"/>
    <n v="25"/>
    <n v="50"/>
    <x v="9"/>
    <n v="10"/>
    <n v="2025"/>
    <x v="1"/>
  </r>
  <r>
    <x v="762"/>
    <x v="263"/>
    <x v="107"/>
    <x v="1"/>
    <n v="45"/>
    <x v="1"/>
    <x v="1"/>
    <n v="25"/>
    <n v="50"/>
    <x v="9"/>
    <n v="10"/>
    <n v="2025"/>
    <x v="2"/>
  </r>
  <r>
    <x v="763"/>
    <x v="263"/>
    <x v="536"/>
    <x v="1"/>
    <n v="64"/>
    <x v="1"/>
    <x v="2"/>
    <n v="25"/>
    <n v="25"/>
    <x v="9"/>
    <n v="10"/>
    <n v="2025"/>
    <x v="1"/>
  </r>
  <r>
    <x v="764"/>
    <x v="264"/>
    <x v="307"/>
    <x v="1"/>
    <n v="25"/>
    <x v="1"/>
    <x v="3"/>
    <n v="50"/>
    <n v="200"/>
    <x v="9"/>
    <n v="10"/>
    <n v="2025"/>
    <x v="3"/>
  </r>
  <r>
    <x v="765"/>
    <x v="264"/>
    <x v="537"/>
    <x v="1"/>
    <n v="51"/>
    <x v="2"/>
    <x v="0"/>
    <n v="300"/>
    <n v="900"/>
    <x v="9"/>
    <n v="10"/>
    <n v="2025"/>
    <x v="1"/>
  </r>
  <r>
    <x v="766"/>
    <x v="264"/>
    <x v="411"/>
    <x v="0"/>
    <n v="52"/>
    <x v="0"/>
    <x v="0"/>
    <n v="25"/>
    <n v="75"/>
    <x v="9"/>
    <n v="10"/>
    <n v="2025"/>
    <x v="1"/>
  </r>
  <r>
    <x v="767"/>
    <x v="264"/>
    <x v="538"/>
    <x v="0"/>
    <n v="49"/>
    <x v="0"/>
    <x v="0"/>
    <n v="25"/>
    <n v="75"/>
    <x v="9"/>
    <n v="10"/>
    <n v="2025"/>
    <x v="1"/>
  </r>
  <r>
    <x v="768"/>
    <x v="265"/>
    <x v="2"/>
    <x v="1"/>
    <n v="41"/>
    <x v="2"/>
    <x v="3"/>
    <n v="30"/>
    <n v="120"/>
    <x v="9"/>
    <n v="10"/>
    <n v="2025"/>
    <x v="2"/>
  </r>
  <r>
    <x v="769"/>
    <x v="265"/>
    <x v="539"/>
    <x v="0"/>
    <n v="31"/>
    <x v="1"/>
    <x v="2"/>
    <n v="50"/>
    <n v="50"/>
    <x v="9"/>
    <n v="10"/>
    <n v="2025"/>
    <x v="0"/>
  </r>
  <r>
    <x v="770"/>
    <x v="265"/>
    <x v="62"/>
    <x v="0"/>
    <n v="49"/>
    <x v="2"/>
    <x v="1"/>
    <n v="25"/>
    <n v="50"/>
    <x v="9"/>
    <n v="10"/>
    <n v="2025"/>
    <x v="1"/>
  </r>
  <r>
    <x v="771"/>
    <x v="265"/>
    <x v="540"/>
    <x v="1"/>
    <n v="63"/>
    <x v="2"/>
    <x v="2"/>
    <n v="30"/>
    <n v="30"/>
    <x v="9"/>
    <n v="10"/>
    <n v="2025"/>
    <x v="1"/>
  </r>
  <r>
    <x v="772"/>
    <x v="265"/>
    <x v="28"/>
    <x v="0"/>
    <n v="60"/>
    <x v="2"/>
    <x v="3"/>
    <n v="500"/>
    <n v="2000"/>
    <x v="9"/>
    <n v="10"/>
    <n v="2025"/>
    <x v="1"/>
  </r>
  <r>
    <x v="773"/>
    <x v="265"/>
    <x v="541"/>
    <x v="1"/>
    <n v="33"/>
    <x v="1"/>
    <x v="1"/>
    <n v="25"/>
    <n v="50"/>
    <x v="9"/>
    <n v="10"/>
    <n v="2025"/>
    <x v="0"/>
  </r>
  <r>
    <x v="774"/>
    <x v="265"/>
    <x v="113"/>
    <x v="0"/>
    <n v="21"/>
    <x v="2"/>
    <x v="3"/>
    <n v="25"/>
    <n v="100"/>
    <x v="9"/>
    <n v="10"/>
    <n v="2025"/>
    <x v="3"/>
  </r>
  <r>
    <x v="775"/>
    <x v="266"/>
    <x v="542"/>
    <x v="1"/>
    <n v="54"/>
    <x v="1"/>
    <x v="0"/>
    <n v="30"/>
    <n v="90"/>
    <x v="9"/>
    <n v="10"/>
    <n v="2025"/>
    <x v="1"/>
  </r>
  <r>
    <x v="776"/>
    <x v="266"/>
    <x v="305"/>
    <x v="1"/>
    <n v="38"/>
    <x v="2"/>
    <x v="0"/>
    <n v="50"/>
    <n v="150"/>
    <x v="9"/>
    <n v="10"/>
    <n v="2025"/>
    <x v="2"/>
  </r>
  <r>
    <x v="777"/>
    <x v="266"/>
    <x v="543"/>
    <x v="1"/>
    <n v="31"/>
    <x v="0"/>
    <x v="3"/>
    <n v="25"/>
    <n v="100"/>
    <x v="9"/>
    <n v="10"/>
    <n v="2025"/>
    <x v="0"/>
  </r>
  <r>
    <x v="778"/>
    <x v="267"/>
    <x v="302"/>
    <x v="1"/>
    <n v="48"/>
    <x v="2"/>
    <x v="6"/>
    <n v="500"/>
    <n v="2500"/>
    <x v="9"/>
    <n v="10"/>
    <n v="2025"/>
    <x v="1"/>
  </r>
  <r>
    <x v="779"/>
    <x v="267"/>
    <x v="544"/>
    <x v="0"/>
    <n v="35"/>
    <x v="2"/>
    <x v="1"/>
    <n v="25"/>
    <n v="50"/>
    <x v="9"/>
    <n v="10"/>
    <n v="2025"/>
    <x v="0"/>
  </r>
  <r>
    <x v="780"/>
    <x v="267"/>
    <x v="411"/>
    <x v="1"/>
    <n v="24"/>
    <x v="0"/>
    <x v="2"/>
    <n v="500"/>
    <n v="500"/>
    <x v="9"/>
    <n v="10"/>
    <n v="2025"/>
    <x v="3"/>
  </r>
  <r>
    <x v="781"/>
    <x v="268"/>
    <x v="545"/>
    <x v="1"/>
    <n v="27"/>
    <x v="1"/>
    <x v="0"/>
    <n v="300"/>
    <n v="900"/>
    <x v="9"/>
    <n v="10"/>
    <n v="2025"/>
    <x v="0"/>
  </r>
  <r>
    <x v="782"/>
    <x v="268"/>
    <x v="546"/>
    <x v="1"/>
    <n v="24"/>
    <x v="1"/>
    <x v="2"/>
    <n v="300"/>
    <n v="300"/>
    <x v="9"/>
    <n v="10"/>
    <n v="2025"/>
    <x v="3"/>
  </r>
  <r>
    <x v="783"/>
    <x v="269"/>
    <x v="547"/>
    <x v="0"/>
    <n v="50"/>
    <x v="2"/>
    <x v="2"/>
    <n v="500"/>
    <n v="500"/>
    <x v="9"/>
    <n v="10"/>
    <n v="2025"/>
    <x v="1"/>
  </r>
  <r>
    <x v="784"/>
    <x v="269"/>
    <x v="548"/>
    <x v="1"/>
    <n v="40"/>
    <x v="0"/>
    <x v="3"/>
    <n v="50"/>
    <n v="200"/>
    <x v="9"/>
    <n v="10"/>
    <n v="2025"/>
    <x v="2"/>
  </r>
  <r>
    <x v="785"/>
    <x v="269"/>
    <x v="549"/>
    <x v="0"/>
    <n v="38"/>
    <x v="1"/>
    <x v="3"/>
    <n v="25"/>
    <n v="100"/>
    <x v="9"/>
    <n v="10"/>
    <n v="2025"/>
    <x v="2"/>
  </r>
  <r>
    <x v="786"/>
    <x v="270"/>
    <x v="550"/>
    <x v="1"/>
    <n v="36"/>
    <x v="2"/>
    <x v="2"/>
    <n v="25"/>
    <n v="25"/>
    <x v="9"/>
    <n v="10"/>
    <n v="2025"/>
    <x v="2"/>
  </r>
  <r>
    <x v="787"/>
    <x v="270"/>
    <x v="551"/>
    <x v="0"/>
    <n v="36"/>
    <x v="0"/>
    <x v="0"/>
    <n v="300"/>
    <n v="900"/>
    <x v="9"/>
    <n v="10"/>
    <n v="2025"/>
    <x v="2"/>
  </r>
  <r>
    <x v="788"/>
    <x v="270"/>
    <x v="552"/>
    <x v="0"/>
    <n v="53"/>
    <x v="1"/>
    <x v="3"/>
    <n v="500"/>
    <n v="2000"/>
    <x v="9"/>
    <n v="10"/>
    <n v="2025"/>
    <x v="1"/>
  </r>
  <r>
    <x v="789"/>
    <x v="270"/>
    <x v="553"/>
    <x v="1"/>
    <n v="46"/>
    <x v="1"/>
    <x v="2"/>
    <n v="25"/>
    <n v="25"/>
    <x v="9"/>
    <n v="10"/>
    <n v="2025"/>
    <x v="1"/>
  </r>
  <r>
    <x v="790"/>
    <x v="271"/>
    <x v="554"/>
    <x v="0"/>
    <n v="35"/>
    <x v="0"/>
    <x v="2"/>
    <n v="25"/>
    <n v="25"/>
    <x v="9"/>
    <n v="10"/>
    <n v="2025"/>
    <x v="0"/>
  </r>
  <r>
    <x v="791"/>
    <x v="271"/>
    <x v="555"/>
    <x v="1"/>
    <n v="19"/>
    <x v="0"/>
    <x v="2"/>
    <n v="50"/>
    <n v="50"/>
    <x v="9"/>
    <n v="10"/>
    <n v="2025"/>
    <x v="3"/>
  </r>
  <r>
    <x v="792"/>
    <x v="272"/>
    <x v="556"/>
    <x v="1"/>
    <n v="18"/>
    <x v="0"/>
    <x v="2"/>
    <n v="30"/>
    <n v="30"/>
    <x v="9"/>
    <n v="10"/>
    <n v="2025"/>
    <x v="3"/>
  </r>
  <r>
    <x v="793"/>
    <x v="272"/>
    <x v="557"/>
    <x v="1"/>
    <n v="64"/>
    <x v="0"/>
    <x v="4"/>
    <n v="300"/>
    <n v="1800"/>
    <x v="9"/>
    <n v="10"/>
    <n v="2025"/>
    <x v="1"/>
  </r>
  <r>
    <x v="794"/>
    <x v="273"/>
    <x v="558"/>
    <x v="0"/>
    <n v="22"/>
    <x v="2"/>
    <x v="2"/>
    <n v="300"/>
    <n v="300"/>
    <x v="9"/>
    <n v="10"/>
    <n v="2025"/>
    <x v="3"/>
  </r>
  <r>
    <x v="795"/>
    <x v="273"/>
    <x v="559"/>
    <x v="0"/>
    <n v="37"/>
    <x v="0"/>
    <x v="3"/>
    <n v="30"/>
    <n v="120"/>
    <x v="9"/>
    <n v="10"/>
    <n v="2025"/>
    <x v="2"/>
  </r>
  <r>
    <x v="796"/>
    <x v="273"/>
    <x v="560"/>
    <x v="1"/>
    <n v="28"/>
    <x v="1"/>
    <x v="0"/>
    <n v="25"/>
    <n v="75"/>
    <x v="9"/>
    <n v="10"/>
    <n v="2025"/>
    <x v="0"/>
  </r>
  <r>
    <x v="797"/>
    <x v="273"/>
    <x v="561"/>
    <x v="1"/>
    <n v="59"/>
    <x v="1"/>
    <x v="2"/>
    <n v="50"/>
    <n v="50"/>
    <x v="9"/>
    <n v="10"/>
    <n v="2025"/>
    <x v="1"/>
  </r>
  <r>
    <x v="798"/>
    <x v="274"/>
    <x v="562"/>
    <x v="0"/>
    <n v="19"/>
    <x v="2"/>
    <x v="1"/>
    <n v="50"/>
    <n v="100"/>
    <x v="9"/>
    <n v="10"/>
    <n v="2025"/>
    <x v="3"/>
  </r>
  <r>
    <x v="799"/>
    <x v="275"/>
    <x v="563"/>
    <x v="1"/>
    <n v="20"/>
    <x v="1"/>
    <x v="3"/>
    <n v="300"/>
    <n v="1200"/>
    <x v="9"/>
    <n v="10"/>
    <n v="2025"/>
    <x v="3"/>
  </r>
  <r>
    <x v="800"/>
    <x v="276"/>
    <x v="564"/>
    <x v="1"/>
    <n v="40"/>
    <x v="1"/>
    <x v="3"/>
    <n v="50"/>
    <n v="200"/>
    <x v="9"/>
    <n v="10"/>
    <n v="2025"/>
    <x v="2"/>
  </r>
  <r>
    <x v="801"/>
    <x v="276"/>
    <x v="565"/>
    <x v="1"/>
    <n v="29"/>
    <x v="0"/>
    <x v="2"/>
    <n v="30"/>
    <n v="30"/>
    <x v="9"/>
    <n v="10"/>
    <n v="2025"/>
    <x v="0"/>
  </r>
  <r>
    <x v="802"/>
    <x v="276"/>
    <x v="566"/>
    <x v="0"/>
    <n v="37"/>
    <x v="1"/>
    <x v="3"/>
    <n v="25"/>
    <n v="100"/>
    <x v="9"/>
    <n v="10"/>
    <n v="2025"/>
    <x v="2"/>
  </r>
  <r>
    <x v="803"/>
    <x v="277"/>
    <x v="567"/>
    <x v="0"/>
    <n v="22"/>
    <x v="2"/>
    <x v="2"/>
    <n v="30"/>
    <n v="30"/>
    <x v="9"/>
    <n v="10"/>
    <n v="2025"/>
    <x v="3"/>
  </r>
  <r>
    <x v="804"/>
    <x v="277"/>
    <x v="568"/>
    <x v="0"/>
    <n v="54"/>
    <x v="0"/>
    <x v="0"/>
    <n v="500"/>
    <n v="1500"/>
    <x v="9"/>
    <n v="10"/>
    <n v="2025"/>
    <x v="1"/>
  </r>
  <r>
    <x v="805"/>
    <x v="277"/>
    <x v="569"/>
    <x v="1"/>
    <n v="55"/>
    <x v="0"/>
    <x v="0"/>
    <n v="300"/>
    <n v="900"/>
    <x v="9"/>
    <n v="10"/>
    <n v="2025"/>
    <x v="1"/>
  </r>
  <r>
    <x v="806"/>
    <x v="277"/>
    <x v="570"/>
    <x v="1"/>
    <n v="47"/>
    <x v="2"/>
    <x v="3"/>
    <n v="50"/>
    <n v="200"/>
    <x v="9"/>
    <n v="10"/>
    <n v="2025"/>
    <x v="1"/>
  </r>
  <r>
    <x v="807"/>
    <x v="278"/>
    <x v="571"/>
    <x v="1"/>
    <n v="26"/>
    <x v="0"/>
    <x v="3"/>
    <n v="500"/>
    <n v="2000"/>
    <x v="9"/>
    <n v="10"/>
    <n v="2025"/>
    <x v="0"/>
  </r>
  <r>
    <x v="808"/>
    <x v="278"/>
    <x v="572"/>
    <x v="1"/>
    <n v="43"/>
    <x v="0"/>
    <x v="1"/>
    <n v="50"/>
    <n v="100"/>
    <x v="9"/>
    <n v="10"/>
    <n v="2025"/>
    <x v="2"/>
  </r>
  <r>
    <x v="809"/>
    <x v="278"/>
    <x v="573"/>
    <x v="0"/>
    <n v="39"/>
    <x v="2"/>
    <x v="3"/>
    <n v="25"/>
    <n v="100"/>
    <x v="9"/>
    <n v="10"/>
    <n v="2025"/>
    <x v="2"/>
  </r>
  <r>
    <x v="810"/>
    <x v="278"/>
    <x v="574"/>
    <x v="1"/>
    <n v="64"/>
    <x v="0"/>
    <x v="1"/>
    <n v="25"/>
    <n v="50"/>
    <x v="9"/>
    <n v="10"/>
    <n v="2025"/>
    <x v="1"/>
  </r>
  <r>
    <x v="811"/>
    <x v="279"/>
    <x v="575"/>
    <x v="1"/>
    <n v="60"/>
    <x v="2"/>
    <x v="0"/>
    <n v="25"/>
    <n v="75"/>
    <x v="9"/>
    <n v="10"/>
    <n v="2025"/>
    <x v="1"/>
  </r>
  <r>
    <x v="812"/>
    <x v="279"/>
    <x v="576"/>
    <x v="0"/>
    <n v="34"/>
    <x v="2"/>
    <x v="0"/>
    <n v="50"/>
    <n v="150"/>
    <x v="9"/>
    <n v="10"/>
    <n v="2025"/>
    <x v="0"/>
  </r>
  <r>
    <x v="813"/>
    <x v="280"/>
    <x v="577"/>
    <x v="1"/>
    <n v="43"/>
    <x v="1"/>
    <x v="2"/>
    <n v="500"/>
    <n v="500"/>
    <x v="9"/>
    <n v="10"/>
    <n v="2025"/>
    <x v="2"/>
  </r>
  <r>
    <x v="814"/>
    <x v="280"/>
    <x v="578"/>
    <x v="0"/>
    <n v="53"/>
    <x v="1"/>
    <x v="0"/>
    <n v="25"/>
    <n v="75"/>
    <x v="9"/>
    <n v="10"/>
    <n v="2025"/>
    <x v="1"/>
  </r>
  <r>
    <x v="815"/>
    <x v="280"/>
    <x v="579"/>
    <x v="1"/>
    <n v="25"/>
    <x v="0"/>
    <x v="1"/>
    <n v="500"/>
    <n v="1000"/>
    <x v="9"/>
    <n v="10"/>
    <n v="2025"/>
    <x v="3"/>
  </r>
  <r>
    <x v="816"/>
    <x v="281"/>
    <x v="580"/>
    <x v="1"/>
    <n v="52"/>
    <x v="0"/>
    <x v="3"/>
    <n v="50"/>
    <n v="200"/>
    <x v="9"/>
    <n v="10"/>
    <n v="2025"/>
    <x v="1"/>
  </r>
  <r>
    <x v="817"/>
    <x v="281"/>
    <x v="581"/>
    <x v="0"/>
    <n v="40"/>
    <x v="2"/>
    <x v="2"/>
    <n v="500"/>
    <n v="500"/>
    <x v="9"/>
    <n v="10"/>
    <n v="2025"/>
    <x v="2"/>
  </r>
  <r>
    <x v="818"/>
    <x v="281"/>
    <x v="582"/>
    <x v="0"/>
    <n v="41"/>
    <x v="0"/>
    <x v="1"/>
    <n v="50"/>
    <n v="100"/>
    <x v="9"/>
    <n v="10"/>
    <n v="2025"/>
    <x v="2"/>
  </r>
  <r>
    <x v="819"/>
    <x v="282"/>
    <x v="583"/>
    <x v="0"/>
    <n v="24"/>
    <x v="2"/>
    <x v="3"/>
    <n v="50"/>
    <n v="200"/>
    <x v="9"/>
    <n v="10"/>
    <n v="2025"/>
    <x v="3"/>
  </r>
  <r>
    <x v="820"/>
    <x v="282"/>
    <x v="584"/>
    <x v="0"/>
    <n v="20"/>
    <x v="2"/>
    <x v="2"/>
    <n v="300"/>
    <n v="300"/>
    <x v="9"/>
    <n v="10"/>
    <n v="2025"/>
    <x v="3"/>
  </r>
  <r>
    <x v="821"/>
    <x v="282"/>
    <x v="585"/>
    <x v="1"/>
    <n v="64"/>
    <x v="0"/>
    <x v="0"/>
    <n v="50"/>
    <n v="150"/>
    <x v="9"/>
    <n v="10"/>
    <n v="2025"/>
    <x v="1"/>
  </r>
  <r>
    <x v="822"/>
    <x v="282"/>
    <x v="586"/>
    <x v="0"/>
    <n v="40"/>
    <x v="2"/>
    <x v="1"/>
    <n v="50"/>
    <n v="100"/>
    <x v="9"/>
    <n v="10"/>
    <n v="2025"/>
    <x v="2"/>
  </r>
  <r>
    <x v="823"/>
    <x v="282"/>
    <x v="587"/>
    <x v="0"/>
    <n v="55"/>
    <x v="1"/>
    <x v="3"/>
    <n v="30"/>
    <n v="120"/>
    <x v="9"/>
    <n v="10"/>
    <n v="2025"/>
    <x v="1"/>
  </r>
  <r>
    <x v="824"/>
    <x v="282"/>
    <x v="588"/>
    <x v="0"/>
    <n v="52"/>
    <x v="0"/>
    <x v="2"/>
    <n v="25"/>
    <n v="25"/>
    <x v="9"/>
    <n v="10"/>
    <n v="2025"/>
    <x v="1"/>
  </r>
  <r>
    <x v="825"/>
    <x v="283"/>
    <x v="589"/>
    <x v="1"/>
    <n v="32"/>
    <x v="1"/>
    <x v="2"/>
    <n v="300"/>
    <n v="300"/>
    <x v="9"/>
    <n v="10"/>
    <n v="2025"/>
    <x v="0"/>
  </r>
  <r>
    <x v="826"/>
    <x v="284"/>
    <x v="590"/>
    <x v="1"/>
    <n v="42"/>
    <x v="0"/>
    <x v="0"/>
    <n v="300"/>
    <n v="900"/>
    <x v="9"/>
    <n v="10"/>
    <n v="2025"/>
    <x v="2"/>
  </r>
  <r>
    <x v="827"/>
    <x v="284"/>
    <x v="591"/>
    <x v="1"/>
    <n v="34"/>
    <x v="2"/>
    <x v="3"/>
    <n v="300"/>
    <n v="1200"/>
    <x v="9"/>
    <n v="10"/>
    <n v="2025"/>
    <x v="0"/>
  </r>
  <r>
    <x v="828"/>
    <x v="284"/>
    <x v="592"/>
    <x v="0"/>
    <n v="56"/>
    <x v="0"/>
    <x v="0"/>
    <n v="30"/>
    <n v="90"/>
    <x v="9"/>
    <n v="10"/>
    <n v="2025"/>
    <x v="1"/>
  </r>
  <r>
    <x v="829"/>
    <x v="285"/>
    <x v="593"/>
    <x v="1"/>
    <n v="43"/>
    <x v="1"/>
    <x v="0"/>
    <n v="50"/>
    <n v="150"/>
    <x v="10"/>
    <n v="11"/>
    <n v="2025"/>
    <x v="2"/>
  </r>
  <r>
    <x v="830"/>
    <x v="285"/>
    <x v="594"/>
    <x v="0"/>
    <n v="61"/>
    <x v="2"/>
    <x v="3"/>
    <n v="25"/>
    <n v="100"/>
    <x v="10"/>
    <n v="11"/>
    <n v="2025"/>
    <x v="1"/>
  </r>
  <r>
    <x v="831"/>
    <x v="285"/>
    <x v="595"/>
    <x v="0"/>
    <n v="21"/>
    <x v="0"/>
    <x v="3"/>
    <n v="500"/>
    <n v="2000"/>
    <x v="10"/>
    <n v="11"/>
    <n v="2025"/>
    <x v="3"/>
  </r>
  <r>
    <x v="832"/>
    <x v="285"/>
    <x v="596"/>
    <x v="0"/>
    <n v="58"/>
    <x v="0"/>
    <x v="3"/>
    <n v="50"/>
    <n v="200"/>
    <x v="10"/>
    <n v="11"/>
    <n v="2025"/>
    <x v="1"/>
  </r>
  <r>
    <x v="833"/>
    <x v="286"/>
    <x v="597"/>
    <x v="0"/>
    <n v="51"/>
    <x v="0"/>
    <x v="1"/>
    <n v="30"/>
    <n v="60"/>
    <x v="10"/>
    <n v="11"/>
    <n v="2025"/>
    <x v="1"/>
  </r>
  <r>
    <x v="834"/>
    <x v="286"/>
    <x v="598"/>
    <x v="1"/>
    <n v="64"/>
    <x v="1"/>
    <x v="3"/>
    <n v="50"/>
    <n v="200"/>
    <x v="10"/>
    <n v="11"/>
    <n v="2025"/>
    <x v="1"/>
  </r>
  <r>
    <x v="835"/>
    <x v="286"/>
    <x v="599"/>
    <x v="1"/>
    <n v="25"/>
    <x v="1"/>
    <x v="2"/>
    <n v="50"/>
    <n v="50"/>
    <x v="10"/>
    <n v="11"/>
    <n v="2025"/>
    <x v="3"/>
  </r>
  <r>
    <x v="836"/>
    <x v="286"/>
    <x v="138"/>
    <x v="1"/>
    <n v="61"/>
    <x v="0"/>
    <x v="0"/>
    <n v="30"/>
    <n v="90"/>
    <x v="10"/>
    <n v="11"/>
    <n v="2025"/>
    <x v="1"/>
  </r>
  <r>
    <x v="837"/>
    <x v="286"/>
    <x v="600"/>
    <x v="1"/>
    <n v="23"/>
    <x v="2"/>
    <x v="1"/>
    <n v="300"/>
    <n v="600"/>
    <x v="10"/>
    <n v="11"/>
    <n v="2025"/>
    <x v="3"/>
  </r>
  <r>
    <x v="838"/>
    <x v="286"/>
    <x v="255"/>
    <x v="1"/>
    <n v="54"/>
    <x v="2"/>
    <x v="3"/>
    <n v="300"/>
    <n v="1200"/>
    <x v="10"/>
    <n v="11"/>
    <n v="2025"/>
    <x v="1"/>
  </r>
  <r>
    <x v="839"/>
    <x v="287"/>
    <x v="601"/>
    <x v="0"/>
    <n v="21"/>
    <x v="1"/>
    <x v="1"/>
    <n v="25"/>
    <n v="50"/>
    <x v="10"/>
    <n v="11"/>
    <n v="2025"/>
    <x v="3"/>
  </r>
  <r>
    <x v="840"/>
    <x v="288"/>
    <x v="48"/>
    <x v="0"/>
    <n v="47"/>
    <x v="2"/>
    <x v="3"/>
    <n v="25"/>
    <n v="100"/>
    <x v="10"/>
    <n v="11"/>
    <n v="2025"/>
    <x v="1"/>
  </r>
  <r>
    <x v="841"/>
    <x v="289"/>
    <x v="602"/>
    <x v="0"/>
    <n v="26"/>
    <x v="1"/>
    <x v="1"/>
    <n v="300"/>
    <n v="600"/>
    <x v="10"/>
    <n v="11"/>
    <n v="2025"/>
    <x v="0"/>
  </r>
  <r>
    <x v="842"/>
    <x v="289"/>
    <x v="107"/>
    <x v="0"/>
    <n v="20"/>
    <x v="0"/>
    <x v="0"/>
    <n v="500"/>
    <n v="1500"/>
    <x v="10"/>
    <n v="11"/>
    <n v="2025"/>
    <x v="3"/>
  </r>
  <r>
    <x v="843"/>
    <x v="290"/>
    <x v="603"/>
    <x v="1"/>
    <n v="53"/>
    <x v="1"/>
    <x v="0"/>
    <n v="50"/>
    <n v="150"/>
    <x v="10"/>
    <n v="11"/>
    <n v="2025"/>
    <x v="1"/>
  </r>
  <r>
    <x v="844"/>
    <x v="290"/>
    <x v="307"/>
    <x v="0"/>
    <n v="48"/>
    <x v="1"/>
    <x v="2"/>
    <n v="500"/>
    <n v="500"/>
    <x v="10"/>
    <n v="11"/>
    <n v="2025"/>
    <x v="1"/>
  </r>
  <r>
    <x v="845"/>
    <x v="291"/>
    <x v="604"/>
    <x v="0"/>
    <n v="23"/>
    <x v="0"/>
    <x v="2"/>
    <n v="50"/>
    <n v="50"/>
    <x v="10"/>
    <n v="11"/>
    <n v="2025"/>
    <x v="3"/>
  </r>
  <r>
    <x v="846"/>
    <x v="291"/>
    <x v="411"/>
    <x v="1"/>
    <n v="37"/>
    <x v="2"/>
    <x v="3"/>
    <n v="300"/>
    <n v="1200"/>
    <x v="10"/>
    <n v="11"/>
    <n v="2025"/>
    <x v="2"/>
  </r>
  <r>
    <x v="847"/>
    <x v="291"/>
    <x v="605"/>
    <x v="1"/>
    <n v="45"/>
    <x v="1"/>
    <x v="0"/>
    <n v="25"/>
    <n v="75"/>
    <x v="10"/>
    <n v="11"/>
    <n v="2025"/>
    <x v="2"/>
  </r>
  <r>
    <x v="848"/>
    <x v="291"/>
    <x v="588"/>
    <x v="0"/>
    <n v="21"/>
    <x v="1"/>
    <x v="1"/>
    <n v="25"/>
    <n v="50"/>
    <x v="10"/>
    <n v="11"/>
    <n v="2025"/>
    <x v="3"/>
  </r>
  <r>
    <x v="849"/>
    <x v="291"/>
    <x v="606"/>
    <x v="0"/>
    <n v="47"/>
    <x v="0"/>
    <x v="1"/>
    <n v="500"/>
    <n v="1000"/>
    <x v="10"/>
    <n v="11"/>
    <n v="2025"/>
    <x v="1"/>
  </r>
  <r>
    <x v="850"/>
    <x v="291"/>
    <x v="2"/>
    <x v="0"/>
    <n v="55"/>
    <x v="2"/>
    <x v="1"/>
    <n v="25"/>
    <n v="50"/>
    <x v="10"/>
    <n v="11"/>
    <n v="2025"/>
    <x v="1"/>
  </r>
  <r>
    <x v="851"/>
    <x v="292"/>
    <x v="607"/>
    <x v="0"/>
    <n v="25"/>
    <x v="1"/>
    <x v="2"/>
    <n v="300"/>
    <n v="300"/>
    <x v="10"/>
    <n v="11"/>
    <n v="2025"/>
    <x v="3"/>
  </r>
  <r>
    <x v="852"/>
    <x v="292"/>
    <x v="62"/>
    <x v="1"/>
    <n v="23"/>
    <x v="0"/>
    <x v="1"/>
    <n v="500"/>
    <n v="1000"/>
    <x v="10"/>
    <n v="11"/>
    <n v="2025"/>
    <x v="3"/>
  </r>
  <r>
    <x v="853"/>
    <x v="293"/>
    <x v="608"/>
    <x v="0"/>
    <n v="43"/>
    <x v="1"/>
    <x v="2"/>
    <n v="50"/>
    <n v="50"/>
    <x v="10"/>
    <n v="11"/>
    <n v="2025"/>
    <x v="2"/>
  </r>
  <r>
    <x v="854"/>
    <x v="293"/>
    <x v="62"/>
    <x v="0"/>
    <n v="36"/>
    <x v="0"/>
    <x v="2"/>
    <n v="25"/>
    <n v="25"/>
    <x v="10"/>
    <n v="11"/>
    <n v="2025"/>
    <x v="2"/>
  </r>
  <r>
    <x v="855"/>
    <x v="293"/>
    <x v="609"/>
    <x v="1"/>
    <n v="37"/>
    <x v="2"/>
    <x v="3"/>
    <n v="30"/>
    <n v="120"/>
    <x v="10"/>
    <n v="11"/>
    <n v="2025"/>
    <x v="2"/>
  </r>
  <r>
    <x v="856"/>
    <x v="294"/>
    <x v="610"/>
    <x v="0"/>
    <n v="50"/>
    <x v="2"/>
    <x v="1"/>
    <n v="25"/>
    <n v="50"/>
    <x v="10"/>
    <n v="11"/>
    <n v="2025"/>
    <x v="1"/>
  </r>
  <r>
    <x v="857"/>
    <x v="294"/>
    <x v="611"/>
    <x v="0"/>
    <n v="51"/>
    <x v="2"/>
    <x v="1"/>
    <n v="50"/>
    <n v="100"/>
    <x v="10"/>
    <n v="11"/>
    <n v="2025"/>
    <x v="1"/>
  </r>
  <r>
    <x v="858"/>
    <x v="295"/>
    <x v="410"/>
    <x v="1"/>
    <n v="61"/>
    <x v="2"/>
    <x v="0"/>
    <n v="500"/>
    <n v="1500"/>
    <x v="10"/>
    <n v="11"/>
    <n v="2025"/>
    <x v="1"/>
  </r>
  <r>
    <x v="859"/>
    <x v="295"/>
    <x v="612"/>
    <x v="1"/>
    <n v="52"/>
    <x v="1"/>
    <x v="3"/>
    <n v="50"/>
    <n v="200"/>
    <x v="10"/>
    <n v="11"/>
    <n v="2025"/>
    <x v="1"/>
  </r>
  <r>
    <x v="860"/>
    <x v="296"/>
    <x v="409"/>
    <x v="1"/>
    <n v="39"/>
    <x v="1"/>
    <x v="0"/>
    <n v="30"/>
    <n v="90"/>
    <x v="10"/>
    <n v="11"/>
    <n v="2025"/>
    <x v="2"/>
  </r>
  <r>
    <x v="861"/>
    <x v="296"/>
    <x v="613"/>
    <x v="1"/>
    <n v="61"/>
    <x v="2"/>
    <x v="3"/>
    <n v="300"/>
    <n v="1200"/>
    <x v="10"/>
    <n v="11"/>
    <n v="2025"/>
    <x v="1"/>
  </r>
  <r>
    <x v="862"/>
    <x v="297"/>
    <x v="614"/>
    <x v="0"/>
    <n v="41"/>
    <x v="2"/>
    <x v="1"/>
    <n v="25"/>
    <n v="50"/>
    <x v="10"/>
    <n v="11"/>
    <n v="2025"/>
    <x v="2"/>
  </r>
  <r>
    <x v="863"/>
    <x v="297"/>
    <x v="615"/>
    <x v="0"/>
    <n v="34"/>
    <x v="2"/>
    <x v="2"/>
    <n v="500"/>
    <n v="500"/>
    <x v="10"/>
    <n v="11"/>
    <n v="2025"/>
    <x v="0"/>
  </r>
  <r>
    <x v="864"/>
    <x v="297"/>
    <x v="580"/>
    <x v="1"/>
    <n v="27"/>
    <x v="1"/>
    <x v="2"/>
    <n v="300"/>
    <n v="300"/>
    <x v="10"/>
    <n v="11"/>
    <n v="2025"/>
    <x v="0"/>
  </r>
  <r>
    <x v="865"/>
    <x v="297"/>
    <x v="616"/>
    <x v="0"/>
    <n v="47"/>
    <x v="2"/>
    <x v="2"/>
    <n v="50"/>
    <n v="50"/>
    <x v="10"/>
    <n v="11"/>
    <n v="2025"/>
    <x v="1"/>
  </r>
  <r>
    <x v="866"/>
    <x v="298"/>
    <x v="583"/>
    <x v="0"/>
    <n v="63"/>
    <x v="2"/>
    <x v="2"/>
    <n v="500"/>
    <n v="500"/>
    <x v="10"/>
    <n v="11"/>
    <n v="2025"/>
    <x v="1"/>
  </r>
  <r>
    <x v="867"/>
    <x v="298"/>
    <x v="617"/>
    <x v="1"/>
    <n v="40"/>
    <x v="2"/>
    <x v="2"/>
    <n v="300"/>
    <n v="300"/>
    <x v="10"/>
    <n v="11"/>
    <n v="2025"/>
    <x v="2"/>
  </r>
  <r>
    <x v="868"/>
    <x v="298"/>
    <x v="588"/>
    <x v="1"/>
    <n v="49"/>
    <x v="0"/>
    <x v="0"/>
    <n v="500"/>
    <n v="1500"/>
    <x v="10"/>
    <n v="11"/>
    <n v="2025"/>
    <x v="1"/>
  </r>
  <r>
    <x v="869"/>
    <x v="299"/>
    <x v="618"/>
    <x v="0"/>
    <n v="34"/>
    <x v="2"/>
    <x v="3"/>
    <n v="30"/>
    <n v="120"/>
    <x v="10"/>
    <n v="11"/>
    <n v="2025"/>
    <x v="0"/>
  </r>
  <r>
    <x v="870"/>
    <x v="300"/>
    <x v="17"/>
    <x v="1"/>
    <n v="34"/>
    <x v="0"/>
    <x v="1"/>
    <n v="30"/>
    <n v="60"/>
    <x v="10"/>
    <n v="11"/>
    <n v="2025"/>
    <x v="0"/>
  </r>
  <r>
    <x v="871"/>
    <x v="300"/>
    <x v="619"/>
    <x v="0"/>
    <n v="31"/>
    <x v="0"/>
    <x v="0"/>
    <n v="25"/>
    <n v="75"/>
    <x v="10"/>
    <n v="11"/>
    <n v="2025"/>
    <x v="0"/>
  </r>
  <r>
    <x v="872"/>
    <x v="300"/>
    <x v="25"/>
    <x v="1"/>
    <n v="26"/>
    <x v="2"/>
    <x v="3"/>
    <n v="25"/>
    <n v="100"/>
    <x v="10"/>
    <n v="11"/>
    <n v="2025"/>
    <x v="0"/>
  </r>
  <r>
    <x v="873"/>
    <x v="300"/>
    <x v="620"/>
    <x v="0"/>
    <n v="50"/>
    <x v="0"/>
    <x v="2"/>
    <n v="30"/>
    <n v="30"/>
    <x v="10"/>
    <n v="11"/>
    <n v="2025"/>
    <x v="1"/>
  </r>
  <r>
    <x v="874"/>
    <x v="301"/>
    <x v="112"/>
    <x v="0"/>
    <n v="30"/>
    <x v="2"/>
    <x v="3"/>
    <n v="500"/>
    <n v="2000"/>
    <x v="10"/>
    <n v="11"/>
    <n v="2025"/>
    <x v="0"/>
  </r>
  <r>
    <x v="875"/>
    <x v="301"/>
    <x v="621"/>
    <x v="0"/>
    <n v="63"/>
    <x v="1"/>
    <x v="3"/>
    <n v="30"/>
    <n v="120"/>
    <x v="10"/>
    <n v="11"/>
    <n v="2025"/>
    <x v="1"/>
  </r>
  <r>
    <x v="876"/>
    <x v="301"/>
    <x v="210"/>
    <x v="0"/>
    <n v="22"/>
    <x v="1"/>
    <x v="2"/>
    <n v="25"/>
    <n v="25"/>
    <x v="10"/>
    <n v="11"/>
    <n v="2025"/>
    <x v="3"/>
  </r>
  <r>
    <x v="877"/>
    <x v="302"/>
    <x v="614"/>
    <x v="1"/>
    <n v="42"/>
    <x v="1"/>
    <x v="0"/>
    <n v="30"/>
    <n v="90"/>
    <x v="10"/>
    <n v="11"/>
    <n v="2025"/>
    <x v="2"/>
  </r>
  <r>
    <x v="878"/>
    <x v="302"/>
    <x v="622"/>
    <x v="1"/>
    <n v="47"/>
    <x v="1"/>
    <x v="2"/>
    <n v="30"/>
    <n v="30"/>
    <x v="10"/>
    <n v="11"/>
    <n v="2025"/>
    <x v="1"/>
  </r>
  <r>
    <x v="879"/>
    <x v="303"/>
    <x v="623"/>
    <x v="1"/>
    <n v="28"/>
    <x v="0"/>
    <x v="1"/>
    <n v="500"/>
    <n v="1000"/>
    <x v="10"/>
    <n v="11"/>
    <n v="2025"/>
    <x v="0"/>
  </r>
  <r>
    <x v="880"/>
    <x v="304"/>
    <x v="624"/>
    <x v="1"/>
    <n v="42"/>
    <x v="2"/>
    <x v="2"/>
    <n v="300"/>
    <n v="300"/>
    <x v="10"/>
    <n v="11"/>
    <n v="2025"/>
    <x v="2"/>
  </r>
  <r>
    <x v="881"/>
    <x v="304"/>
    <x v="625"/>
    <x v="0"/>
    <n v="44"/>
    <x v="2"/>
    <x v="1"/>
    <n v="25"/>
    <n v="50"/>
    <x v="10"/>
    <n v="11"/>
    <n v="2025"/>
    <x v="2"/>
  </r>
  <r>
    <x v="882"/>
    <x v="304"/>
    <x v="626"/>
    <x v="1"/>
    <n v="50"/>
    <x v="2"/>
    <x v="2"/>
    <n v="500"/>
    <n v="500"/>
    <x v="10"/>
    <n v="11"/>
    <n v="2025"/>
    <x v="1"/>
  </r>
  <r>
    <x v="883"/>
    <x v="305"/>
    <x v="627"/>
    <x v="1"/>
    <n v="55"/>
    <x v="1"/>
    <x v="1"/>
    <n v="30"/>
    <n v="60"/>
    <x v="10"/>
    <n v="11"/>
    <n v="2025"/>
    <x v="1"/>
  </r>
  <r>
    <x v="884"/>
    <x v="305"/>
    <x v="628"/>
    <x v="1"/>
    <n v="20"/>
    <x v="1"/>
    <x v="3"/>
    <n v="30"/>
    <n v="120"/>
    <x v="10"/>
    <n v="11"/>
    <n v="2025"/>
    <x v="3"/>
  </r>
  <r>
    <x v="885"/>
    <x v="305"/>
    <x v="629"/>
    <x v="0"/>
    <n v="54"/>
    <x v="2"/>
    <x v="0"/>
    <n v="300"/>
    <n v="900"/>
    <x v="10"/>
    <n v="11"/>
    <n v="2025"/>
    <x v="1"/>
  </r>
  <r>
    <x v="886"/>
    <x v="306"/>
    <x v="160"/>
    <x v="1"/>
    <n v="54"/>
    <x v="1"/>
    <x v="3"/>
    <n v="25"/>
    <n v="100"/>
    <x v="10"/>
    <n v="11"/>
    <n v="2025"/>
    <x v="1"/>
  </r>
  <r>
    <x v="887"/>
    <x v="306"/>
    <x v="630"/>
    <x v="0"/>
    <n v="34"/>
    <x v="2"/>
    <x v="3"/>
    <n v="25"/>
    <n v="100"/>
    <x v="10"/>
    <n v="11"/>
    <n v="2025"/>
    <x v="0"/>
  </r>
  <r>
    <x v="888"/>
    <x v="306"/>
    <x v="257"/>
    <x v="1"/>
    <n v="38"/>
    <x v="2"/>
    <x v="2"/>
    <n v="50"/>
    <n v="50"/>
    <x v="10"/>
    <n v="11"/>
    <n v="2025"/>
    <x v="2"/>
  </r>
  <r>
    <x v="889"/>
    <x v="307"/>
    <x v="631"/>
    <x v="0"/>
    <n v="57"/>
    <x v="2"/>
    <x v="1"/>
    <n v="25"/>
    <n v="50"/>
    <x v="10"/>
    <n v="11"/>
    <n v="2025"/>
    <x v="1"/>
  </r>
  <r>
    <x v="890"/>
    <x v="307"/>
    <x v="304"/>
    <x v="0"/>
    <n v="51"/>
    <x v="2"/>
    <x v="0"/>
    <n v="300"/>
    <n v="900"/>
    <x v="10"/>
    <n v="11"/>
    <n v="2025"/>
    <x v="1"/>
  </r>
  <r>
    <x v="891"/>
    <x v="307"/>
    <x v="632"/>
    <x v="1"/>
    <n v="45"/>
    <x v="2"/>
    <x v="2"/>
    <n v="50"/>
    <n v="50"/>
    <x v="10"/>
    <n v="11"/>
    <n v="2025"/>
    <x v="2"/>
  </r>
  <r>
    <x v="892"/>
    <x v="308"/>
    <x v="212"/>
    <x v="0"/>
    <n v="25"/>
    <x v="2"/>
    <x v="2"/>
    <n v="50"/>
    <n v="50"/>
    <x v="10"/>
    <n v="11"/>
    <n v="2025"/>
    <x v="3"/>
  </r>
  <r>
    <x v="893"/>
    <x v="308"/>
    <x v="633"/>
    <x v="1"/>
    <n v="20"/>
    <x v="2"/>
    <x v="2"/>
    <n v="30"/>
    <n v="30"/>
    <x v="10"/>
    <n v="11"/>
    <n v="2025"/>
    <x v="3"/>
  </r>
  <r>
    <x v="894"/>
    <x v="309"/>
    <x v="578"/>
    <x v="0"/>
    <n v="29"/>
    <x v="1"/>
    <x v="3"/>
    <n v="30"/>
    <n v="120"/>
    <x v="10"/>
    <n v="11"/>
    <n v="2025"/>
    <x v="0"/>
  </r>
  <r>
    <x v="895"/>
    <x v="309"/>
    <x v="634"/>
    <x v="1"/>
    <n v="22"/>
    <x v="2"/>
    <x v="1"/>
    <n v="25"/>
    <n v="50"/>
    <x v="10"/>
    <n v="11"/>
    <n v="2025"/>
    <x v="3"/>
  </r>
  <r>
    <x v="896"/>
    <x v="310"/>
    <x v="613"/>
    <x v="0"/>
    <n v="40"/>
    <x v="2"/>
    <x v="1"/>
    <n v="50"/>
    <n v="100"/>
    <x v="10"/>
    <n v="11"/>
    <n v="2025"/>
    <x v="2"/>
  </r>
  <r>
    <x v="897"/>
    <x v="310"/>
    <x v="635"/>
    <x v="0"/>
    <n v="54"/>
    <x v="1"/>
    <x v="0"/>
    <n v="30"/>
    <n v="90"/>
    <x v="10"/>
    <n v="11"/>
    <n v="2025"/>
    <x v="1"/>
  </r>
  <r>
    <x v="898"/>
    <x v="310"/>
    <x v="75"/>
    <x v="1"/>
    <n v="38"/>
    <x v="1"/>
    <x v="1"/>
    <n v="300"/>
    <n v="600"/>
    <x v="10"/>
    <n v="11"/>
    <n v="2025"/>
    <x v="2"/>
  </r>
  <r>
    <x v="899"/>
    <x v="311"/>
    <x v="636"/>
    <x v="1"/>
    <n v="55"/>
    <x v="1"/>
    <x v="1"/>
    <n v="30"/>
    <n v="60"/>
    <x v="10"/>
    <n v="11"/>
    <n v="2025"/>
    <x v="1"/>
  </r>
  <r>
    <x v="900"/>
    <x v="311"/>
    <x v="138"/>
    <x v="1"/>
    <n v="51"/>
    <x v="2"/>
    <x v="2"/>
    <n v="30"/>
    <n v="30"/>
    <x v="10"/>
    <n v="11"/>
    <n v="2025"/>
    <x v="1"/>
  </r>
  <r>
    <x v="901"/>
    <x v="312"/>
    <x v="637"/>
    <x v="1"/>
    <n v="55"/>
    <x v="0"/>
    <x v="2"/>
    <n v="50"/>
    <n v="50"/>
    <x v="10"/>
    <n v="11"/>
    <n v="2025"/>
    <x v="1"/>
  </r>
  <r>
    <x v="902"/>
    <x v="312"/>
    <x v="255"/>
    <x v="1"/>
    <n v="51"/>
    <x v="0"/>
    <x v="3"/>
    <n v="50"/>
    <n v="200"/>
    <x v="10"/>
    <n v="11"/>
    <n v="2025"/>
    <x v="1"/>
  </r>
  <r>
    <x v="903"/>
    <x v="312"/>
    <x v="638"/>
    <x v="1"/>
    <n v="50"/>
    <x v="1"/>
    <x v="2"/>
    <n v="500"/>
    <n v="500"/>
    <x v="10"/>
    <n v="11"/>
    <n v="2025"/>
    <x v="1"/>
  </r>
  <r>
    <x v="904"/>
    <x v="313"/>
    <x v="639"/>
    <x v="0"/>
    <n v="41"/>
    <x v="0"/>
    <x v="2"/>
    <n v="300"/>
    <n v="300"/>
    <x v="10"/>
    <n v="11"/>
    <n v="2025"/>
    <x v="2"/>
  </r>
  <r>
    <x v="905"/>
    <x v="313"/>
    <x v="640"/>
    <x v="1"/>
    <n v="22"/>
    <x v="1"/>
    <x v="2"/>
    <n v="50"/>
    <n v="50"/>
    <x v="10"/>
    <n v="11"/>
    <n v="2025"/>
    <x v="3"/>
  </r>
  <r>
    <x v="906"/>
    <x v="313"/>
    <x v="641"/>
    <x v="1"/>
    <n v="34"/>
    <x v="2"/>
    <x v="2"/>
    <n v="25"/>
    <n v="25"/>
    <x v="10"/>
    <n v="11"/>
    <n v="2025"/>
    <x v="0"/>
  </r>
  <r>
    <x v="907"/>
    <x v="314"/>
    <x v="642"/>
    <x v="1"/>
    <n v="34"/>
    <x v="0"/>
    <x v="3"/>
    <n v="300"/>
    <n v="1200"/>
    <x v="11"/>
    <n v="12"/>
    <n v="2025"/>
    <x v="0"/>
  </r>
  <r>
    <x v="908"/>
    <x v="314"/>
    <x v="176"/>
    <x v="1"/>
    <n v="41"/>
    <x v="2"/>
    <x v="2"/>
    <n v="300"/>
    <n v="300"/>
    <x v="11"/>
    <n v="12"/>
    <n v="2025"/>
    <x v="2"/>
  </r>
  <r>
    <x v="909"/>
    <x v="315"/>
    <x v="643"/>
    <x v="0"/>
    <n v="19"/>
    <x v="0"/>
    <x v="0"/>
    <n v="50"/>
    <n v="150"/>
    <x v="11"/>
    <n v="12"/>
    <n v="2025"/>
    <x v="3"/>
  </r>
  <r>
    <x v="910"/>
    <x v="315"/>
    <x v="275"/>
    <x v="1"/>
    <n v="30"/>
    <x v="2"/>
    <x v="0"/>
    <n v="300"/>
    <n v="900"/>
    <x v="11"/>
    <n v="12"/>
    <n v="2025"/>
    <x v="0"/>
  </r>
  <r>
    <x v="911"/>
    <x v="315"/>
    <x v="644"/>
    <x v="1"/>
    <n v="28"/>
    <x v="0"/>
    <x v="0"/>
    <n v="50"/>
    <n v="150"/>
    <x v="11"/>
    <n v="12"/>
    <n v="2025"/>
    <x v="0"/>
  </r>
  <r>
    <x v="912"/>
    <x v="316"/>
    <x v="350"/>
    <x v="0"/>
    <n v="64"/>
    <x v="2"/>
    <x v="0"/>
    <n v="30"/>
    <n v="90"/>
    <x v="11"/>
    <n v="12"/>
    <n v="2025"/>
    <x v="1"/>
  </r>
  <r>
    <x v="913"/>
    <x v="317"/>
    <x v="645"/>
    <x v="1"/>
    <n v="40"/>
    <x v="2"/>
    <x v="2"/>
    <n v="500"/>
    <n v="500"/>
    <x v="11"/>
    <n v="12"/>
    <n v="2025"/>
    <x v="2"/>
  </r>
  <r>
    <x v="914"/>
    <x v="317"/>
    <x v="177"/>
    <x v="0"/>
    <n v="42"/>
    <x v="0"/>
    <x v="0"/>
    <n v="30"/>
    <n v="90"/>
    <x v="11"/>
    <n v="12"/>
    <n v="2025"/>
    <x v="2"/>
  </r>
  <r>
    <x v="915"/>
    <x v="317"/>
    <x v="646"/>
    <x v="0"/>
    <n v="20"/>
    <x v="2"/>
    <x v="2"/>
    <n v="50"/>
    <n v="50"/>
    <x v="11"/>
    <n v="12"/>
    <n v="2025"/>
    <x v="3"/>
  </r>
  <r>
    <x v="916"/>
    <x v="317"/>
    <x v="276"/>
    <x v="0"/>
    <n v="49"/>
    <x v="2"/>
    <x v="3"/>
    <n v="50"/>
    <n v="200"/>
    <x v="11"/>
    <n v="12"/>
    <n v="2025"/>
    <x v="1"/>
  </r>
  <r>
    <x v="917"/>
    <x v="318"/>
    <x v="647"/>
    <x v="0"/>
    <n v="44"/>
    <x v="2"/>
    <x v="0"/>
    <n v="30"/>
    <n v="90"/>
    <x v="11"/>
    <n v="12"/>
    <n v="2025"/>
    <x v="2"/>
  </r>
  <r>
    <x v="918"/>
    <x v="318"/>
    <x v="351"/>
    <x v="0"/>
    <n v="38"/>
    <x v="0"/>
    <x v="1"/>
    <n v="25"/>
    <n v="50"/>
    <x v="11"/>
    <n v="12"/>
    <n v="2025"/>
    <x v="2"/>
  </r>
  <r>
    <x v="919"/>
    <x v="318"/>
    <x v="648"/>
    <x v="1"/>
    <n v="22"/>
    <x v="0"/>
    <x v="0"/>
    <n v="25"/>
    <n v="75"/>
    <x v="11"/>
    <n v="12"/>
    <n v="2025"/>
    <x v="3"/>
  </r>
  <r>
    <x v="920"/>
    <x v="318"/>
    <x v="181"/>
    <x v="0"/>
    <n v="35"/>
    <x v="2"/>
    <x v="0"/>
    <n v="25"/>
    <n v="75"/>
    <x v="11"/>
    <n v="12"/>
    <n v="2025"/>
    <x v="0"/>
  </r>
  <r>
    <x v="921"/>
    <x v="318"/>
    <x v="649"/>
    <x v="0"/>
    <n v="23"/>
    <x v="2"/>
    <x v="2"/>
    <n v="50"/>
    <n v="50"/>
    <x v="11"/>
    <n v="12"/>
    <n v="2025"/>
    <x v="3"/>
  </r>
  <r>
    <x v="922"/>
    <x v="319"/>
    <x v="282"/>
    <x v="1"/>
    <n v="58"/>
    <x v="0"/>
    <x v="0"/>
    <n v="300"/>
    <n v="900"/>
    <x v="11"/>
    <n v="12"/>
    <n v="2025"/>
    <x v="1"/>
  </r>
  <r>
    <x v="923"/>
    <x v="319"/>
    <x v="650"/>
    <x v="0"/>
    <n v="57"/>
    <x v="0"/>
    <x v="1"/>
    <n v="50"/>
    <n v="100"/>
    <x v="11"/>
    <n v="12"/>
    <n v="2025"/>
    <x v="1"/>
  </r>
  <r>
    <x v="924"/>
    <x v="319"/>
    <x v="353"/>
    <x v="1"/>
    <n v="19"/>
    <x v="2"/>
    <x v="6"/>
    <n v="300"/>
    <n v="1500"/>
    <x v="11"/>
    <n v="12"/>
    <n v="2025"/>
    <x v="3"/>
  </r>
  <r>
    <x v="925"/>
    <x v="319"/>
    <x v="651"/>
    <x v="0"/>
    <n v="62"/>
    <x v="2"/>
    <x v="2"/>
    <n v="30"/>
    <n v="30"/>
    <x v="11"/>
    <n v="12"/>
    <n v="2025"/>
    <x v="1"/>
  </r>
  <r>
    <x v="926"/>
    <x v="319"/>
    <x v="185"/>
    <x v="0"/>
    <n v="42"/>
    <x v="2"/>
    <x v="3"/>
    <n v="500"/>
    <n v="2000"/>
    <x v="11"/>
    <n v="12"/>
    <n v="2025"/>
    <x v="2"/>
  </r>
  <r>
    <x v="927"/>
    <x v="320"/>
    <x v="652"/>
    <x v="0"/>
    <n v="56"/>
    <x v="1"/>
    <x v="3"/>
    <n v="300"/>
    <n v="1200"/>
    <x v="11"/>
    <n v="12"/>
    <n v="2025"/>
    <x v="1"/>
  </r>
  <r>
    <x v="928"/>
    <x v="320"/>
    <x v="287"/>
    <x v="1"/>
    <n v="26"/>
    <x v="0"/>
    <x v="0"/>
    <n v="25"/>
    <n v="75"/>
    <x v="11"/>
    <n v="12"/>
    <n v="2025"/>
    <x v="0"/>
  </r>
  <r>
    <x v="929"/>
    <x v="321"/>
    <x v="653"/>
    <x v="0"/>
    <n v="39"/>
    <x v="1"/>
    <x v="3"/>
    <n v="50"/>
    <n v="200"/>
    <x v="11"/>
    <n v="12"/>
    <n v="2025"/>
    <x v="2"/>
  </r>
  <r>
    <x v="930"/>
    <x v="321"/>
    <x v="358"/>
    <x v="0"/>
    <n v="60"/>
    <x v="0"/>
    <x v="3"/>
    <n v="30"/>
    <n v="120"/>
    <x v="11"/>
    <n v="12"/>
    <n v="2025"/>
    <x v="1"/>
  </r>
  <r>
    <x v="931"/>
    <x v="321"/>
    <x v="654"/>
    <x v="1"/>
    <n v="63"/>
    <x v="0"/>
    <x v="3"/>
    <n v="25"/>
    <n v="100"/>
    <x v="11"/>
    <n v="12"/>
    <n v="2025"/>
    <x v="1"/>
  </r>
  <r>
    <x v="932"/>
    <x v="321"/>
    <x v="104"/>
    <x v="1"/>
    <n v="21"/>
    <x v="0"/>
    <x v="2"/>
    <n v="30"/>
    <n v="30"/>
    <x v="11"/>
    <n v="12"/>
    <n v="2025"/>
    <x v="3"/>
  </r>
  <r>
    <x v="933"/>
    <x v="322"/>
    <x v="655"/>
    <x v="0"/>
    <n v="43"/>
    <x v="0"/>
    <x v="2"/>
    <n v="500"/>
    <n v="500"/>
    <x v="11"/>
    <n v="12"/>
    <n v="2025"/>
    <x v="2"/>
  </r>
  <r>
    <x v="934"/>
    <x v="322"/>
    <x v="204"/>
    <x v="0"/>
    <n v="46"/>
    <x v="0"/>
    <x v="2"/>
    <n v="50"/>
    <n v="50"/>
    <x v="11"/>
    <n v="12"/>
    <n v="2025"/>
    <x v="1"/>
  </r>
  <r>
    <x v="935"/>
    <x v="322"/>
    <x v="656"/>
    <x v="1"/>
    <n v="62"/>
    <x v="0"/>
    <x v="3"/>
    <n v="50"/>
    <n v="200"/>
    <x v="11"/>
    <n v="12"/>
    <n v="2025"/>
    <x v="1"/>
  </r>
  <r>
    <x v="936"/>
    <x v="322"/>
    <x v="301"/>
    <x v="1"/>
    <n v="51"/>
    <x v="0"/>
    <x v="2"/>
    <n v="500"/>
    <n v="500"/>
    <x v="11"/>
    <n v="12"/>
    <n v="2025"/>
    <x v="1"/>
  </r>
  <r>
    <x v="937"/>
    <x v="322"/>
    <x v="657"/>
    <x v="1"/>
    <n v="40"/>
    <x v="1"/>
    <x v="3"/>
    <n v="50"/>
    <n v="200"/>
    <x v="11"/>
    <n v="12"/>
    <n v="2025"/>
    <x v="2"/>
  </r>
  <r>
    <x v="938"/>
    <x v="322"/>
    <x v="658"/>
    <x v="1"/>
    <n v="54"/>
    <x v="2"/>
    <x v="2"/>
    <n v="300"/>
    <n v="300"/>
    <x v="11"/>
    <n v="12"/>
    <n v="2025"/>
    <x v="1"/>
  </r>
  <r>
    <x v="939"/>
    <x v="323"/>
    <x v="659"/>
    <x v="1"/>
    <n v="28"/>
    <x v="2"/>
    <x v="2"/>
    <n v="30"/>
    <n v="30"/>
    <x v="11"/>
    <n v="12"/>
    <n v="2025"/>
    <x v="0"/>
  </r>
  <r>
    <x v="940"/>
    <x v="323"/>
    <x v="660"/>
    <x v="0"/>
    <n v="23"/>
    <x v="1"/>
    <x v="1"/>
    <n v="25"/>
    <n v="50"/>
    <x v="11"/>
    <n v="12"/>
    <n v="2025"/>
    <x v="3"/>
  </r>
  <r>
    <x v="941"/>
    <x v="323"/>
    <x v="661"/>
    <x v="1"/>
    <n v="35"/>
    <x v="1"/>
    <x v="0"/>
    <n v="500"/>
    <n v="1500"/>
    <x v="11"/>
    <n v="12"/>
    <n v="2025"/>
    <x v="0"/>
  </r>
  <r>
    <x v="942"/>
    <x v="323"/>
    <x v="662"/>
    <x v="0"/>
    <n v="38"/>
    <x v="1"/>
    <x v="3"/>
    <n v="300"/>
    <n v="1200"/>
    <x v="11"/>
    <n v="12"/>
    <n v="2025"/>
    <x v="2"/>
  </r>
  <r>
    <x v="943"/>
    <x v="324"/>
    <x v="663"/>
    <x v="0"/>
    <n v="59"/>
    <x v="1"/>
    <x v="1"/>
    <n v="25"/>
    <n v="50"/>
    <x v="11"/>
    <n v="12"/>
    <n v="2025"/>
    <x v="1"/>
  </r>
  <r>
    <x v="944"/>
    <x v="324"/>
    <x v="664"/>
    <x v="0"/>
    <n v="53"/>
    <x v="0"/>
    <x v="2"/>
    <n v="25"/>
    <n v="25"/>
    <x v="11"/>
    <n v="12"/>
    <n v="2025"/>
    <x v="1"/>
  </r>
  <r>
    <x v="945"/>
    <x v="325"/>
    <x v="665"/>
    <x v="1"/>
    <n v="58"/>
    <x v="2"/>
    <x v="3"/>
    <n v="500"/>
    <n v="2000"/>
    <x v="11"/>
    <n v="12"/>
    <n v="2025"/>
    <x v="1"/>
  </r>
  <r>
    <x v="946"/>
    <x v="325"/>
    <x v="666"/>
    <x v="0"/>
    <n v="55"/>
    <x v="0"/>
    <x v="2"/>
    <n v="300"/>
    <n v="300"/>
    <x v="11"/>
    <n v="12"/>
    <n v="2025"/>
    <x v="1"/>
  </r>
  <r>
    <x v="947"/>
    <x v="326"/>
    <x v="667"/>
    <x v="0"/>
    <n v="51"/>
    <x v="2"/>
    <x v="0"/>
    <n v="25"/>
    <n v="75"/>
    <x v="11"/>
    <n v="12"/>
    <n v="2025"/>
    <x v="1"/>
  </r>
  <r>
    <x v="948"/>
    <x v="326"/>
    <x v="668"/>
    <x v="1"/>
    <n v="34"/>
    <x v="2"/>
    <x v="1"/>
    <n v="25"/>
    <n v="50"/>
    <x v="11"/>
    <n v="12"/>
    <n v="2025"/>
    <x v="0"/>
  </r>
  <r>
    <x v="949"/>
    <x v="326"/>
    <x v="669"/>
    <x v="0"/>
    <n v="54"/>
    <x v="1"/>
    <x v="0"/>
    <n v="300"/>
    <n v="900"/>
    <x v="11"/>
    <n v="12"/>
    <n v="2025"/>
    <x v="1"/>
  </r>
  <r>
    <x v="950"/>
    <x v="327"/>
    <x v="670"/>
    <x v="0"/>
    <n v="42"/>
    <x v="0"/>
    <x v="1"/>
    <n v="50"/>
    <n v="100"/>
    <x v="11"/>
    <n v="12"/>
    <n v="2025"/>
    <x v="2"/>
  </r>
  <r>
    <x v="951"/>
    <x v="327"/>
    <x v="671"/>
    <x v="1"/>
    <n v="55"/>
    <x v="1"/>
    <x v="2"/>
    <n v="25"/>
    <n v="25"/>
    <x v="11"/>
    <n v="12"/>
    <n v="2025"/>
    <x v="1"/>
  </r>
  <r>
    <x v="952"/>
    <x v="328"/>
    <x v="672"/>
    <x v="0"/>
    <n v="29"/>
    <x v="0"/>
    <x v="0"/>
    <n v="30"/>
    <n v="90"/>
    <x v="11"/>
    <n v="12"/>
    <n v="2025"/>
    <x v="0"/>
  </r>
  <r>
    <x v="953"/>
    <x v="328"/>
    <x v="673"/>
    <x v="0"/>
    <n v="40"/>
    <x v="2"/>
    <x v="0"/>
    <n v="300"/>
    <n v="900"/>
    <x v="11"/>
    <n v="12"/>
    <n v="2025"/>
    <x v="2"/>
  </r>
  <r>
    <x v="954"/>
    <x v="329"/>
    <x v="104"/>
    <x v="0"/>
    <n v="59"/>
    <x v="1"/>
    <x v="2"/>
    <n v="25"/>
    <n v="25"/>
    <x v="11"/>
    <n v="12"/>
    <n v="2025"/>
    <x v="1"/>
  </r>
  <r>
    <x v="955"/>
    <x v="329"/>
    <x v="674"/>
    <x v="1"/>
    <n v="39"/>
    <x v="1"/>
    <x v="0"/>
    <n v="500"/>
    <n v="1500"/>
    <x v="11"/>
    <n v="12"/>
    <n v="2025"/>
    <x v="2"/>
  </r>
  <r>
    <x v="956"/>
    <x v="329"/>
    <x v="204"/>
    <x v="1"/>
    <n v="38"/>
    <x v="2"/>
    <x v="3"/>
    <n v="30"/>
    <n v="120"/>
    <x v="11"/>
    <n v="12"/>
    <n v="2025"/>
    <x v="2"/>
  </r>
  <r>
    <x v="957"/>
    <x v="330"/>
    <x v="675"/>
    <x v="1"/>
    <n v="44"/>
    <x v="2"/>
    <x v="1"/>
    <n v="25"/>
    <n v="50"/>
    <x v="11"/>
    <n v="12"/>
    <n v="2025"/>
    <x v="2"/>
  </r>
  <r>
    <x v="958"/>
    <x v="330"/>
    <x v="301"/>
    <x v="0"/>
    <n v="48"/>
    <x v="2"/>
    <x v="1"/>
    <n v="30"/>
    <n v="60"/>
    <x v="11"/>
    <n v="12"/>
    <n v="2025"/>
    <x v="1"/>
  </r>
  <r>
    <x v="959"/>
    <x v="331"/>
    <x v="676"/>
    <x v="0"/>
    <n v="23"/>
    <x v="1"/>
    <x v="1"/>
    <n v="30"/>
    <n v="60"/>
    <x v="11"/>
    <n v="12"/>
    <n v="2025"/>
    <x v="3"/>
  </r>
  <r>
    <x v="960"/>
    <x v="331"/>
    <x v="583"/>
    <x v="1"/>
    <n v="44"/>
    <x v="0"/>
    <x v="3"/>
    <n v="50"/>
    <n v="200"/>
    <x v="11"/>
    <n v="12"/>
    <n v="2025"/>
    <x v="2"/>
  </r>
  <r>
    <x v="961"/>
    <x v="331"/>
    <x v="677"/>
    <x v="0"/>
    <n v="57"/>
    <x v="1"/>
    <x v="1"/>
    <n v="30"/>
    <n v="60"/>
    <x v="11"/>
    <n v="12"/>
    <n v="2025"/>
    <x v="1"/>
  </r>
  <r>
    <x v="962"/>
    <x v="331"/>
    <x v="623"/>
    <x v="0"/>
    <n v="51"/>
    <x v="0"/>
    <x v="2"/>
    <n v="50"/>
    <n v="50"/>
    <x v="11"/>
    <n v="12"/>
    <n v="2025"/>
    <x v="1"/>
  </r>
  <r>
    <x v="963"/>
    <x v="332"/>
    <x v="678"/>
    <x v="1"/>
    <n v="29"/>
    <x v="1"/>
    <x v="0"/>
    <n v="300"/>
    <n v="900"/>
    <x v="11"/>
    <n v="12"/>
    <n v="2025"/>
    <x v="0"/>
  </r>
  <r>
    <x v="964"/>
    <x v="332"/>
    <x v="615"/>
    <x v="1"/>
    <n v="62"/>
    <x v="1"/>
    <x v="3"/>
    <n v="50"/>
    <n v="200"/>
    <x v="11"/>
    <n v="12"/>
    <n v="2025"/>
    <x v="1"/>
  </r>
  <r>
    <x v="965"/>
    <x v="332"/>
    <x v="679"/>
    <x v="0"/>
    <n v="24"/>
    <x v="2"/>
    <x v="1"/>
    <n v="500"/>
    <n v="1000"/>
    <x v="11"/>
    <n v="12"/>
    <n v="2025"/>
    <x v="3"/>
  </r>
  <r>
    <x v="966"/>
    <x v="333"/>
    <x v="614"/>
    <x v="0"/>
    <n v="27"/>
    <x v="0"/>
    <x v="2"/>
    <n v="25"/>
    <n v="25"/>
    <x v="11"/>
    <n v="12"/>
    <n v="2025"/>
    <x v="0"/>
  </r>
  <r>
    <x v="967"/>
    <x v="333"/>
    <x v="680"/>
    <x v="0"/>
    <n v="62"/>
    <x v="1"/>
    <x v="0"/>
    <n v="300"/>
    <n v="900"/>
    <x v="11"/>
    <n v="12"/>
    <n v="2025"/>
    <x v="1"/>
  </r>
  <r>
    <x v="968"/>
    <x v="333"/>
    <x v="623"/>
    <x v="1"/>
    <n v="34"/>
    <x v="1"/>
    <x v="0"/>
    <n v="300"/>
    <n v="900"/>
    <x v="11"/>
    <n v="12"/>
    <n v="2025"/>
    <x v="0"/>
  </r>
  <r>
    <x v="969"/>
    <x v="333"/>
    <x v="681"/>
    <x v="1"/>
    <n v="43"/>
    <x v="2"/>
    <x v="3"/>
    <n v="500"/>
    <n v="2000"/>
    <x v="11"/>
    <n v="12"/>
    <n v="2025"/>
    <x v="2"/>
  </r>
  <r>
    <x v="970"/>
    <x v="333"/>
    <x v="360"/>
    <x v="1"/>
    <n v="38"/>
    <x v="2"/>
    <x v="3"/>
    <n v="50"/>
    <n v="200"/>
    <x v="11"/>
    <n v="12"/>
    <n v="2025"/>
    <x v="2"/>
  </r>
  <r>
    <x v="971"/>
    <x v="334"/>
    <x v="682"/>
    <x v="1"/>
    <n v="45"/>
    <x v="0"/>
    <x v="3"/>
    <n v="25"/>
    <n v="100"/>
    <x v="11"/>
    <n v="12"/>
    <n v="2025"/>
    <x v="2"/>
  </r>
  <r>
    <x v="972"/>
    <x v="335"/>
    <x v="62"/>
    <x v="0"/>
    <n v="63"/>
    <x v="1"/>
    <x v="2"/>
    <n v="50"/>
    <n v="50"/>
    <x v="11"/>
    <n v="12"/>
    <n v="2025"/>
    <x v="1"/>
  </r>
  <r>
    <x v="973"/>
    <x v="336"/>
    <x v="683"/>
    <x v="1"/>
    <n v="19"/>
    <x v="0"/>
    <x v="2"/>
    <n v="30"/>
    <n v="30"/>
    <x v="11"/>
    <n v="12"/>
    <n v="2025"/>
    <x v="3"/>
  </r>
  <r>
    <x v="974"/>
    <x v="336"/>
    <x v="25"/>
    <x v="1"/>
    <n v="60"/>
    <x v="1"/>
    <x v="3"/>
    <n v="50"/>
    <n v="200"/>
    <x v="11"/>
    <n v="12"/>
    <n v="2025"/>
    <x v="1"/>
  </r>
  <r>
    <x v="975"/>
    <x v="336"/>
    <x v="684"/>
    <x v="1"/>
    <n v="18"/>
    <x v="0"/>
    <x v="1"/>
    <n v="300"/>
    <n v="600"/>
    <x v="11"/>
    <n v="12"/>
    <n v="2025"/>
    <x v="3"/>
  </r>
  <r>
    <x v="976"/>
    <x v="336"/>
    <x v="112"/>
    <x v="1"/>
    <n v="53"/>
    <x v="2"/>
    <x v="0"/>
    <n v="25"/>
    <n v="75"/>
    <x v="11"/>
    <n v="12"/>
    <n v="2025"/>
    <x v="1"/>
  </r>
  <r>
    <x v="977"/>
    <x v="336"/>
    <x v="685"/>
    <x v="1"/>
    <n v="43"/>
    <x v="1"/>
    <x v="0"/>
    <n v="50"/>
    <n v="150"/>
    <x v="11"/>
    <n v="12"/>
    <n v="2025"/>
    <x v="2"/>
  </r>
  <r>
    <x v="978"/>
    <x v="336"/>
    <x v="210"/>
    <x v="0"/>
    <n v="46"/>
    <x v="0"/>
    <x v="2"/>
    <n v="25"/>
    <n v="25"/>
    <x v="11"/>
    <n v="12"/>
    <n v="2025"/>
    <x v="1"/>
  </r>
  <r>
    <x v="979"/>
    <x v="337"/>
    <x v="686"/>
    <x v="0"/>
    <n v="38"/>
    <x v="2"/>
    <x v="0"/>
    <n v="25"/>
    <n v="75"/>
    <x v="11"/>
    <n v="12"/>
    <n v="2025"/>
    <x v="2"/>
  </r>
  <r>
    <x v="980"/>
    <x v="337"/>
    <x v="687"/>
    <x v="1"/>
    <n v="28"/>
    <x v="2"/>
    <x v="1"/>
    <n v="30"/>
    <n v="60"/>
    <x v="11"/>
    <n v="12"/>
    <n v="2025"/>
    <x v="0"/>
  </r>
  <r>
    <x v="981"/>
    <x v="338"/>
    <x v="688"/>
    <x v="0"/>
    <n v="57"/>
    <x v="0"/>
    <x v="0"/>
    <n v="30"/>
    <n v="90"/>
    <x v="11"/>
    <n v="12"/>
    <n v="2025"/>
    <x v="1"/>
  </r>
  <r>
    <x v="982"/>
    <x v="339"/>
    <x v="689"/>
    <x v="1"/>
    <n v="28"/>
    <x v="1"/>
    <x v="2"/>
    <n v="300"/>
    <n v="300"/>
    <x v="11"/>
    <n v="12"/>
    <n v="2025"/>
    <x v="0"/>
  </r>
  <r>
    <x v="983"/>
    <x v="339"/>
    <x v="690"/>
    <x v="1"/>
    <n v="53"/>
    <x v="1"/>
    <x v="2"/>
    <n v="500"/>
    <n v="500"/>
    <x v="11"/>
    <n v="12"/>
    <n v="2025"/>
    <x v="1"/>
  </r>
  <r>
    <x v="984"/>
    <x v="339"/>
    <x v="691"/>
    <x v="0"/>
    <n v="56"/>
    <x v="2"/>
    <x v="1"/>
    <n v="25"/>
    <n v="50"/>
    <x v="11"/>
    <n v="12"/>
    <n v="2025"/>
    <x v="1"/>
  </r>
  <r>
    <x v="985"/>
    <x v="339"/>
    <x v="692"/>
    <x v="0"/>
    <n v="57"/>
    <x v="1"/>
    <x v="1"/>
    <n v="500"/>
    <n v="1000"/>
    <x v="11"/>
    <n v="12"/>
    <n v="2025"/>
    <x v="1"/>
  </r>
  <r>
    <x v="986"/>
    <x v="339"/>
    <x v="93"/>
    <x v="1"/>
    <n v="52"/>
    <x v="1"/>
    <x v="0"/>
    <n v="300"/>
    <n v="900"/>
    <x v="11"/>
    <n v="12"/>
    <n v="2025"/>
    <x v="1"/>
  </r>
  <r>
    <x v="987"/>
    <x v="339"/>
    <x v="693"/>
    <x v="1"/>
    <n v="51"/>
    <x v="1"/>
    <x v="0"/>
    <n v="25"/>
    <n v="75"/>
    <x v="11"/>
    <n v="12"/>
    <n v="2025"/>
    <x v="1"/>
  </r>
  <r>
    <x v="988"/>
    <x v="340"/>
    <x v="694"/>
    <x v="1"/>
    <n v="64"/>
    <x v="2"/>
    <x v="2"/>
    <n v="25"/>
    <n v="25"/>
    <x v="11"/>
    <n v="12"/>
    <n v="2025"/>
    <x v="1"/>
  </r>
  <r>
    <x v="989"/>
    <x v="340"/>
    <x v="695"/>
    <x v="0"/>
    <n v="41"/>
    <x v="0"/>
    <x v="1"/>
    <n v="500"/>
    <n v="1000"/>
    <x v="11"/>
    <n v="12"/>
    <n v="2025"/>
    <x v="2"/>
  </r>
  <r>
    <x v="990"/>
    <x v="341"/>
    <x v="197"/>
    <x v="1"/>
    <n v="39"/>
    <x v="1"/>
    <x v="1"/>
    <n v="50"/>
    <n v="100"/>
    <x v="11"/>
    <n v="12"/>
    <n v="2025"/>
    <x v="2"/>
  </r>
  <r>
    <x v="991"/>
    <x v="341"/>
    <x v="696"/>
    <x v="1"/>
    <n v="22"/>
    <x v="2"/>
    <x v="1"/>
    <n v="30"/>
    <n v="60"/>
    <x v="11"/>
    <n v="12"/>
    <n v="2025"/>
    <x v="3"/>
  </r>
  <r>
    <x v="992"/>
    <x v="341"/>
    <x v="697"/>
    <x v="1"/>
    <n v="50"/>
    <x v="2"/>
    <x v="0"/>
    <n v="50"/>
    <n v="150"/>
    <x v="11"/>
    <n v="12"/>
    <n v="2025"/>
    <x v="1"/>
  </r>
  <r>
    <x v="993"/>
    <x v="342"/>
    <x v="698"/>
    <x v="0"/>
    <n v="53"/>
    <x v="0"/>
    <x v="1"/>
    <n v="500"/>
    <n v="1000"/>
    <x v="11"/>
    <n v="12"/>
    <n v="2025"/>
    <x v="1"/>
  </r>
  <r>
    <x v="994"/>
    <x v="342"/>
    <x v="253"/>
    <x v="1"/>
    <n v="64"/>
    <x v="1"/>
    <x v="3"/>
    <n v="30"/>
    <n v="120"/>
    <x v="11"/>
    <n v="12"/>
    <n v="2025"/>
    <x v="1"/>
  </r>
  <r>
    <x v="995"/>
    <x v="342"/>
    <x v="343"/>
    <x v="1"/>
    <n v="37"/>
    <x v="1"/>
    <x v="2"/>
    <n v="50"/>
    <n v="50"/>
    <x v="11"/>
    <n v="12"/>
    <n v="2025"/>
    <x v="2"/>
  </r>
  <r>
    <x v="996"/>
    <x v="342"/>
    <x v="699"/>
    <x v="0"/>
    <n v="36"/>
    <x v="0"/>
    <x v="0"/>
    <n v="30"/>
    <n v="90"/>
    <x v="11"/>
    <n v="12"/>
    <n v="2025"/>
    <x v="2"/>
  </r>
  <r>
    <x v="997"/>
    <x v="343"/>
    <x v="440"/>
    <x v="1"/>
    <n v="52"/>
    <x v="0"/>
    <x v="3"/>
    <n v="25"/>
    <n v="100"/>
    <x v="11"/>
    <n v="12"/>
    <n v="2025"/>
    <x v="1"/>
  </r>
  <r>
    <x v="998"/>
    <x v="343"/>
    <x v="700"/>
    <x v="1"/>
    <n v="60"/>
    <x v="2"/>
    <x v="0"/>
    <n v="50"/>
    <n v="150"/>
    <x v="11"/>
    <n v="12"/>
    <n v="2025"/>
    <x v="1"/>
  </r>
  <r>
    <x v="999"/>
    <x v="343"/>
    <x v="701"/>
    <x v="0"/>
    <n v="34"/>
    <x v="2"/>
    <x v="3"/>
    <n v="30"/>
    <n v="120"/>
    <x v="11"/>
    <n v="12"/>
    <n v="202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ge group revenue"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7">
  <location ref="A35:B40" firstHeaderRow="1" firstDataRow="1" firstDataCol="1"/>
  <pivotFields count="13">
    <pivotField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3">
        <item x="1"/>
        <item x="0"/>
        <item t="default"/>
      </items>
    </pivotField>
    <pivotField showAll="0"/>
    <pivotField showAll="0">
      <items count="4">
        <item x="0"/>
        <item x="1"/>
        <item x="2"/>
        <item t="default"/>
      </items>
    </pivotField>
    <pivotField showAll="0"/>
    <pivotField numFmtId="165" showAll="0"/>
    <pivotField dataField="1" numFmtId="165" showAll="0"/>
    <pivotField showAll="0"/>
    <pivotField showAll="0" defaultSubtotal="0"/>
    <pivotField showAll="0"/>
    <pivotField axis="axisRow" showAll="0">
      <items count="5">
        <item x="3"/>
        <item x="0"/>
        <item x="2"/>
        <item x="1"/>
        <item t="default"/>
      </items>
    </pivotField>
  </pivotFields>
  <rowFields count="1">
    <field x="12"/>
  </rowFields>
  <rowItems count="5">
    <i>
      <x/>
    </i>
    <i>
      <x v="1"/>
    </i>
    <i>
      <x v="2"/>
    </i>
    <i>
      <x v="3"/>
    </i>
    <i t="grand">
      <x/>
    </i>
  </rowItems>
  <colItems count="1">
    <i/>
  </colItems>
  <dataFields count="1">
    <dataField name="Sum of total_amount" fld="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55"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Gender wise revenue"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3">
  <location ref="A28:B31" firstHeaderRow="1" firstDataRow="1" firstDataCol="1"/>
  <pivotFields count="13">
    <pivotField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axis="axisRow" showAll="0">
      <items count="3">
        <item x="1"/>
        <item x="0"/>
        <item t="default"/>
      </items>
    </pivotField>
    <pivotField showAll="0"/>
    <pivotField showAll="0">
      <items count="4">
        <item x="0"/>
        <item x="1"/>
        <item x="2"/>
        <item t="default"/>
      </items>
    </pivotField>
    <pivotField showAll="0"/>
    <pivotField numFmtId="165" showAll="0"/>
    <pivotField dataField="1" numFmtId="165" showAll="0"/>
    <pivotField showAll="0"/>
    <pivotField showAll="0" defaultSubtotal="0"/>
    <pivotField showAll="0"/>
    <pivotField showAll="0">
      <items count="5">
        <item x="3"/>
        <item x="0"/>
        <item x="2"/>
        <item x="1"/>
        <item t="default"/>
      </items>
    </pivotField>
  </pivotFields>
  <rowFields count="1">
    <field x="3"/>
  </rowFields>
  <rowItems count="3">
    <i>
      <x/>
    </i>
    <i>
      <x v="1"/>
    </i>
    <i t="grand">
      <x/>
    </i>
  </rowItems>
  <colItems count="1">
    <i/>
  </colItems>
  <dataFields count="1">
    <dataField name="Sum of total_amount" fld="8" baseField="0" baseItem="0"/>
  </dataFields>
  <chartFormats count="6">
    <chartFormat chart="1"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3" count="1" selected="0">
            <x v="0"/>
          </reference>
        </references>
      </pivotArea>
    </chartFormat>
    <chartFormat chart="8" format="12">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0"/>
          </reference>
        </references>
      </pivotArea>
    </chartFormat>
    <chartFormat chart="1"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 type="dateBetween" evalOrder="-1" id="155"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Category wise sales"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0">
  <location ref="A20:B24" firstHeaderRow="1" firstDataRow="1" firstDataCol="1"/>
  <pivotFields count="13">
    <pivotField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numFmtId="165" showAll="0"/>
    <pivotField dataField="1" numFmtId="165" showAll="0"/>
    <pivotField showAll="0"/>
    <pivotField showAll="0" defaultSubtotal="0"/>
    <pivotField showAll="0"/>
    <pivotField showAll="0">
      <items count="5">
        <item x="3"/>
        <item x="0"/>
        <item x="2"/>
        <item x="1"/>
        <item t="default"/>
      </items>
    </pivotField>
  </pivotFields>
  <rowFields count="1">
    <field x="5"/>
  </rowFields>
  <rowItems count="4">
    <i>
      <x/>
    </i>
    <i>
      <x v="1"/>
    </i>
    <i>
      <x v="2"/>
    </i>
    <i t="grand">
      <x/>
    </i>
  </rowItems>
  <colItems count="1">
    <i/>
  </colItems>
  <dataFields count="1">
    <dataField name="Sum of total_amount" fld="8" baseField="0" baseItem="0"/>
  </dataField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 chart="4" format="7">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1" type="dateBetween" evalOrder="-1" id="155"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Monthly Sales"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0">
  <location ref="A3:B16" firstHeaderRow="1" firstDataRow="1" firstDataCol="1"/>
  <pivotFields count="13">
    <pivotField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3">
        <item x="1"/>
        <item x="0"/>
        <item t="default"/>
      </items>
    </pivotField>
    <pivotField showAll="0"/>
    <pivotField showAll="0">
      <items count="4">
        <item x="0"/>
        <item x="1"/>
        <item x="2"/>
        <item t="default"/>
      </items>
    </pivotField>
    <pivotField showAll="0"/>
    <pivotField numFmtId="165" showAll="0"/>
    <pivotField dataField="1" numFmtId="165" showAll="0"/>
    <pivotField axis="axisRow" showAll="0">
      <items count="13">
        <item x="0"/>
        <item x="1"/>
        <item x="2"/>
        <item x="3"/>
        <item x="4"/>
        <item x="5"/>
        <item x="6"/>
        <item x="7"/>
        <item x="8"/>
        <item x="9"/>
        <item x="10"/>
        <item x="11"/>
        <item t="default"/>
      </items>
    </pivotField>
    <pivotField showAll="0" defaultSubtotal="0"/>
    <pivotField showAll="0"/>
    <pivotField showAll="0">
      <items count="5">
        <item x="3"/>
        <item x="0"/>
        <item x="2"/>
        <item x="1"/>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total_amount" fld="8"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55"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 10"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C61:G62" firstHeaderRow="0" firstDataRow="1" firstDataCol="0"/>
  <pivotFields count="13">
    <pivotField dataField="1"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showAll="0"/>
    <pivotField showAll="0">
      <items count="3">
        <item x="1"/>
        <item x="0"/>
        <item t="default"/>
      </items>
    </pivotField>
    <pivotField dataField="1" showAll="0"/>
    <pivotField showAll="0">
      <items count="4">
        <item x="0"/>
        <item x="1"/>
        <item x="2"/>
        <item t="default"/>
      </items>
    </pivotField>
    <pivotField dataField="1" showAll="0">
      <items count="8">
        <item x="2"/>
        <item x="1"/>
        <item x="0"/>
        <item x="3"/>
        <item x="6"/>
        <item x="4"/>
        <item x="5"/>
        <item t="default"/>
      </items>
    </pivotField>
    <pivotField numFmtId="165" showAll="0"/>
    <pivotField dataField="1" numFmtId="165" showAll="0"/>
    <pivotField showAll="0"/>
    <pivotField showAll="0" defaultSubtotal="0"/>
    <pivotField showAll="0"/>
    <pivotField showAll="0">
      <items count="5">
        <item x="3"/>
        <item x="0"/>
        <item x="2"/>
        <item x="1"/>
        <item t="default"/>
      </items>
    </pivotField>
  </pivotFields>
  <rowItems count="1">
    <i/>
  </rowItems>
  <colFields count="1">
    <field x="-2"/>
  </colFields>
  <colItems count="5">
    <i>
      <x/>
    </i>
    <i i="1">
      <x v="1"/>
    </i>
    <i i="2">
      <x v="2"/>
    </i>
    <i i="3">
      <x v="3"/>
    </i>
    <i i="4">
      <x v="4"/>
    </i>
  </colItems>
  <dataFields count="5">
    <dataField name="Total Sales" fld="8" baseField="0" baseItem="1"/>
    <dataField name="Total Orders" fld="0" subtotal="count" baseField="0" baseItem="1"/>
    <dataField name="Average age" fld="4" subtotal="average" baseField="0" baseItem="3"/>
    <dataField name="Unit Sold" fld="6" baseField="0" baseItem="4"/>
    <dataField name="Average sales value" fld="8" subtotal="average" baseField="0" baseItem="4"/>
  </dataFields>
  <formats count="3">
    <format dxfId="17">
      <pivotArea type="all" dataOnly="0" outline="0" fieldPosition="0"/>
    </format>
    <format dxfId="16">
      <pivotArea outline="0" collapsedLevelsAreSubtotals="1" fieldPosition="0"/>
    </format>
    <format dxfId="1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filters count="1">
    <filter fld="1" type="dateBetween" evalOrder="-1" id="155"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p Customers"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1">
  <location ref="A44:B55" firstHeaderRow="1" firstDataRow="1" firstDataCol="1"/>
  <pivotFields count="13">
    <pivotField showAll="0"/>
    <pivotField numFmtId="164" showAll="0">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t="default"/>
      </items>
    </pivotField>
    <pivotField axis="axisRow" showAll="0" measureFilter="1">
      <items count="7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3"/>
        <item x="204"/>
        <item x="202"/>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m="1" x="702"/>
        <item x="249"/>
        <item m="1" x="703"/>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5"/>
        <item x="616"/>
        <item x="617"/>
        <item x="618"/>
        <item x="619"/>
        <item x="620"/>
        <item x="621"/>
        <item x="614"/>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499"/>
        <item t="default"/>
      </items>
    </pivotField>
    <pivotField showAll="0">
      <items count="3">
        <item x="1"/>
        <item x="0"/>
        <item t="default"/>
      </items>
    </pivotField>
    <pivotField showAll="0"/>
    <pivotField showAll="0">
      <items count="4">
        <item x="0"/>
        <item x="1"/>
        <item x="2"/>
        <item t="default"/>
      </items>
    </pivotField>
    <pivotField showAll="0"/>
    <pivotField numFmtId="165" showAll="0"/>
    <pivotField dataField="1" numFmtId="165" showAll="0"/>
    <pivotField showAll="0"/>
    <pivotField showAll="0" defaultSubtotal="0"/>
    <pivotField showAll="0"/>
    <pivotField showAll="0">
      <items count="5">
        <item x="3"/>
        <item x="0"/>
        <item x="2"/>
        <item x="1"/>
        <item t="default"/>
      </items>
    </pivotField>
  </pivotFields>
  <rowFields count="1">
    <field x="2"/>
  </rowFields>
  <rowItems count="11">
    <i>
      <x v="17"/>
    </i>
    <i>
      <x v="25"/>
    </i>
    <i>
      <x v="28"/>
    </i>
    <i>
      <x v="48"/>
    </i>
    <i>
      <x v="62"/>
    </i>
    <i>
      <x v="72"/>
    </i>
    <i>
      <x v="75"/>
    </i>
    <i>
      <x v="107"/>
    </i>
    <i>
      <x v="112"/>
    </i>
    <i>
      <x v="138"/>
    </i>
    <i t="grand">
      <x/>
    </i>
  </rowItems>
  <colItems count="1">
    <i/>
  </colItems>
  <dataFields count="1">
    <dataField name="Sum of total_amount" fld="8"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156"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Monthly Sales"/>
    <pivotTable tabId="4" name="Age group revenue"/>
    <pivotTable tabId="4" name="Category wise sales"/>
    <pivotTable tabId="4" name="Gender wise revenue"/>
    <pivotTable tabId="4" name="PivotTable 10"/>
    <pivotTable tabId="4" name="Top Customers"/>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4" name="Monthly Sales"/>
    <pivotTable tabId="4" name="Age group revenue"/>
    <pivotTable tabId="4" name="Category wise sales"/>
    <pivotTable tabId="4" name="Gender wise revenue"/>
    <pivotTable tabId="4" name="PivotTable 10"/>
    <pivotTable tabId="4" name="Top Customers"/>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 sourceName="age_group">
  <pivotTables>
    <pivotTable tabId="4" name="Monthly Sales"/>
    <pivotTable tabId="4" name="Age group revenue"/>
    <pivotTable tabId="4" name="Category wise sales"/>
    <pivotTable tabId="4" name="Gender wise revenue"/>
    <pivotTable tabId="4" name="PivotTable 10"/>
    <pivotTable tabId="4" name="Top Customers"/>
  </pivotTables>
  <data>
    <tabular pivotCacheId="1">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2" cache="Slicer_gender" caption="gender" columnCount="2" rowHeight="180000"/>
  <slicer name="product_category 2" cache="Slicer_product_category" caption="product_category" columnCount="3" rowHeight="180000"/>
  <slicer name="age_group 2" cache="Slicer_age_group" caption="age_group" columnCount="4" rowHeight="14400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cache="Slicer_gender" caption="gender" columnCount="2" rowHeight="180000"/>
  <slicer name="product_category" cache="Slicer_product_category" caption="product_category" columnCount="3" rowHeight="180000"/>
  <slicer name="age_group" cache="Slicer_age_group" caption="age_group" columnCount="4" rowHeight="144000"/>
</slicers>
</file>

<file path=xl/tables/table1.xml><?xml version="1.0" encoding="utf-8"?>
<table xmlns="http://schemas.openxmlformats.org/spreadsheetml/2006/main" id="2" name="retail_sales_table" displayName="retail_sales_table" ref="A1:M1001" totalsRowShown="0" headerRowDxfId="14" dataDxfId="13">
  <autoFilter ref="A1:M1001"/>
  <tableColumns count="13">
    <tableColumn id="1" name="transaction_id" dataDxfId="12"/>
    <tableColumn id="2" name="date" dataDxfId="11"/>
    <tableColumn id="3" name="customer_id" dataDxfId="10"/>
    <tableColumn id="4" name="gender" dataDxfId="9"/>
    <tableColumn id="5" name="age" dataDxfId="8"/>
    <tableColumn id="6" name="product_category" dataDxfId="7"/>
    <tableColumn id="7" name="quantity" dataDxfId="6"/>
    <tableColumn id="8" name="price_per_unit" dataDxfId="5"/>
    <tableColumn id="9" name="total_amount" dataDxfId="4">
      <calculatedColumnFormula>G2*H2</calculatedColumnFormula>
    </tableColumn>
    <tableColumn id="10" name="month" dataDxfId="3">
      <calculatedColumnFormula>TEXT([1]retail_sales_cleaned_dataset!B2,"mmmm")</calculatedColumnFormula>
    </tableColumn>
    <tableColumn id="11" name="month_number" dataDxfId="2">
      <calculatedColumnFormula>MONTH([1]retail_sales_cleaned_dataset!B2)</calculatedColumnFormula>
    </tableColumn>
    <tableColumn id="12" name="year" dataDxfId="1">
      <calculatedColumnFormula>YEAR([1]retail_sales_cleaned_dataset!B2)</calculatedColumnFormula>
    </tableColumn>
    <tableColumn id="13" name="age_group" dataDxfId="0">
      <calculatedColumnFormula>IF(E2&lt;=25,"18-25",IF(E2&lt;=35,"26-35",IF(E2&lt;=45,"36-45","46+")))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4" name="Monthly Sales"/>
    <pivotTable tabId="4" name="Age group revenue"/>
    <pivotTable tabId="4" name="Category wise sales"/>
    <pivotTable tabId="4" name="Gender wise revenue"/>
    <pivotTable tabId="4" name="PivotTable 10"/>
    <pivotTable tabId="4" name="Top Customers"/>
  </pivotTables>
  <state minimalRefreshVersion="6" lastRefreshVersion="6" pivotCacheId="1" filterType="dateBetween">
    <selection startDate="2025-01-01T00:00:00" endDate="2025-12-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2" cache="NativeTimeline_date" caption="Timeline" showHeader="0" showSelectionLabel="0" showTimeLevel="0" showHorizontalScrollbar="0" level="1" selectionLevel="0"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1" selectionLevel="0"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V37"/>
  <sheetViews>
    <sheetView showGridLines="0" tabSelected="1" zoomScale="80" zoomScaleNormal="80" workbookViewId="0">
      <selection activeCell="V13" sqref="V13"/>
    </sheetView>
  </sheetViews>
  <sheetFormatPr defaultRowHeight="15" x14ac:dyDescent="0.25"/>
  <cols>
    <col min="13" max="13" width="10.7109375" customWidth="1"/>
  </cols>
  <sheetData>
    <row r="2" spans="1:22" x14ac:dyDescent="0.25">
      <c r="B2" s="28" t="s">
        <v>767</v>
      </c>
      <c r="C2" s="28"/>
      <c r="D2" s="28"/>
      <c r="E2" s="28"/>
      <c r="F2" s="28"/>
      <c r="G2" s="28"/>
      <c r="H2" s="28"/>
      <c r="I2" s="28"/>
      <c r="J2" s="28"/>
      <c r="K2" s="28"/>
      <c r="L2" s="28"/>
      <c r="M2" s="28"/>
      <c r="N2" s="28"/>
      <c r="O2" s="28"/>
      <c r="P2" s="28"/>
      <c r="Q2" s="28"/>
    </row>
    <row r="3" spans="1:22" x14ac:dyDescent="0.25">
      <c r="A3" s="17"/>
      <c r="B3" s="28"/>
      <c r="C3" s="28"/>
      <c r="D3" s="28"/>
      <c r="E3" s="28"/>
      <c r="F3" s="28"/>
      <c r="G3" s="28"/>
      <c r="H3" s="28"/>
      <c r="I3" s="28"/>
      <c r="J3" s="28"/>
      <c r="K3" s="28"/>
      <c r="L3" s="28"/>
      <c r="M3" s="28"/>
      <c r="N3" s="28"/>
      <c r="O3" s="28"/>
      <c r="P3" s="28"/>
      <c r="Q3" s="28"/>
    </row>
    <row r="4" spans="1:22" x14ac:dyDescent="0.25">
      <c r="B4" s="10"/>
      <c r="C4" s="10"/>
      <c r="D4" s="10"/>
      <c r="E4" s="10"/>
      <c r="F4" s="10"/>
      <c r="G4" s="10"/>
      <c r="H4" s="10"/>
      <c r="I4" s="10"/>
      <c r="J4" s="10"/>
      <c r="K4" s="10"/>
      <c r="L4" s="10"/>
      <c r="M4" s="10"/>
      <c r="N4" s="10"/>
      <c r="O4" s="10"/>
      <c r="P4" s="10"/>
      <c r="Q4" s="10"/>
    </row>
    <row r="5" spans="1:22" ht="18.75" x14ac:dyDescent="0.3">
      <c r="B5" s="10"/>
      <c r="C5" s="29" t="s">
        <v>768</v>
      </c>
      <c r="D5" s="29"/>
      <c r="E5" s="10"/>
      <c r="F5" s="29" t="s">
        <v>769</v>
      </c>
      <c r="G5" s="29"/>
      <c r="H5" s="10"/>
      <c r="I5" s="29" t="s">
        <v>770</v>
      </c>
      <c r="J5" s="29"/>
      <c r="K5" s="11"/>
      <c r="L5" s="30" t="s">
        <v>771</v>
      </c>
      <c r="M5" s="30"/>
      <c r="N5" s="10"/>
      <c r="O5" s="31" t="s">
        <v>772</v>
      </c>
      <c r="P5" s="31"/>
      <c r="Q5" s="10"/>
    </row>
    <row r="6" spans="1:22" ht="15" customHeight="1" x14ac:dyDescent="0.25">
      <c r="B6" s="10"/>
      <c r="C6" s="32">
        <f>GETPIVOTDATA("Total Sales",'Pivot_table &amp; Chart'!$C$61)</f>
        <v>463570</v>
      </c>
      <c r="D6" s="32"/>
      <c r="E6" s="10"/>
      <c r="F6" s="33">
        <f>GETPIVOTDATA("Total Orders",'Pivot_table &amp; Chart'!$C$61)</f>
        <v>1000</v>
      </c>
      <c r="G6" s="33"/>
      <c r="H6" s="10"/>
      <c r="I6" s="34">
        <f>GETPIVOTDATA("Unit Sold",'Pivot_table &amp; Chart'!F62)</f>
        <v>2560</v>
      </c>
      <c r="J6" s="34"/>
      <c r="K6" s="11"/>
      <c r="L6" s="34">
        <f>GETPIVOTDATA("Average sales value",'Pivot_table &amp; Chart'!G62)</f>
        <v>463.57</v>
      </c>
      <c r="M6" s="34"/>
      <c r="N6" s="10"/>
      <c r="O6" s="33">
        <f>GETPIVOTDATA("Average age",'Pivot_table &amp; Chart'!E62)</f>
        <v>41.164000000000001</v>
      </c>
      <c r="P6" s="33"/>
      <c r="Q6" s="10"/>
      <c r="V6" s="17"/>
    </row>
    <row r="7" spans="1:22" ht="15.75" customHeight="1" x14ac:dyDescent="0.25">
      <c r="B7" s="10"/>
      <c r="C7" s="32"/>
      <c r="D7" s="32"/>
      <c r="E7" s="10"/>
      <c r="F7" s="33"/>
      <c r="G7" s="33"/>
      <c r="H7" s="10"/>
      <c r="I7" s="34"/>
      <c r="J7" s="34"/>
      <c r="K7" s="11"/>
      <c r="L7" s="34"/>
      <c r="M7" s="34"/>
      <c r="N7" s="10"/>
      <c r="O7" s="33"/>
      <c r="P7" s="33"/>
      <c r="Q7" s="10"/>
    </row>
    <row r="8" spans="1:22" x14ac:dyDescent="0.25">
      <c r="B8" s="10"/>
      <c r="C8" s="10"/>
      <c r="D8" s="10"/>
      <c r="E8" s="10"/>
      <c r="F8" s="10"/>
      <c r="G8" s="10"/>
      <c r="H8" s="10"/>
      <c r="I8" s="10"/>
      <c r="J8" s="10"/>
      <c r="K8" s="10"/>
      <c r="L8" s="10"/>
      <c r="M8" s="10"/>
      <c r="N8" s="10"/>
      <c r="O8" s="10"/>
      <c r="P8" s="10"/>
      <c r="Q8" s="10"/>
    </row>
    <row r="9" spans="1:22" x14ac:dyDescent="0.25">
      <c r="B9" s="10"/>
      <c r="C9" s="10"/>
      <c r="D9" s="10"/>
      <c r="E9" s="10"/>
      <c r="F9" s="10"/>
      <c r="G9" s="10"/>
      <c r="H9" s="10"/>
      <c r="I9" s="10"/>
      <c r="J9" s="10"/>
      <c r="K9" s="10"/>
      <c r="L9" s="10"/>
      <c r="M9" s="10"/>
      <c r="N9" s="10"/>
      <c r="O9" s="10"/>
      <c r="P9" s="10"/>
      <c r="Q9" s="10"/>
    </row>
    <row r="10" spans="1:22" x14ac:dyDescent="0.25">
      <c r="B10" s="10"/>
      <c r="C10" s="10"/>
      <c r="D10" s="10"/>
      <c r="E10" s="10"/>
      <c r="F10" s="10"/>
      <c r="G10" s="10"/>
      <c r="H10" s="10"/>
      <c r="I10" s="10"/>
      <c r="J10" s="10"/>
      <c r="K10" s="10"/>
      <c r="L10" s="10"/>
      <c r="M10" s="10"/>
      <c r="N10" s="10"/>
      <c r="O10" s="10"/>
      <c r="P10" s="10"/>
      <c r="Q10" s="10"/>
      <c r="U10" s="16"/>
    </row>
    <row r="11" spans="1:22" x14ac:dyDescent="0.25">
      <c r="B11" s="10"/>
      <c r="C11" s="10"/>
      <c r="D11" s="10"/>
      <c r="E11" s="10"/>
      <c r="F11" s="10"/>
      <c r="G11" s="10"/>
      <c r="H11" s="10"/>
      <c r="I11" s="10"/>
      <c r="J11" s="10"/>
      <c r="K11" s="10"/>
      <c r="L11" s="10"/>
      <c r="M11" s="10"/>
      <c r="N11" s="10"/>
      <c r="O11" s="10"/>
      <c r="P11" s="10"/>
      <c r="Q11" s="10"/>
    </row>
    <row r="12" spans="1:22" x14ac:dyDescent="0.25">
      <c r="B12" s="10"/>
      <c r="C12" s="10"/>
      <c r="D12" s="10"/>
      <c r="E12" s="10"/>
      <c r="F12" s="10"/>
      <c r="G12" s="10"/>
      <c r="H12" s="10"/>
      <c r="I12" s="10"/>
      <c r="J12" s="10"/>
      <c r="K12" s="10"/>
      <c r="L12" s="10"/>
      <c r="M12" s="10"/>
      <c r="N12" s="10"/>
      <c r="O12" s="10"/>
      <c r="P12" s="10"/>
      <c r="Q12" s="10"/>
    </row>
    <row r="13" spans="1:22" x14ac:dyDescent="0.25">
      <c r="B13" s="10"/>
      <c r="C13" s="10"/>
      <c r="D13" s="10"/>
      <c r="E13" s="10"/>
      <c r="F13" s="10"/>
      <c r="G13" s="10"/>
      <c r="H13" s="10"/>
      <c r="I13" s="10"/>
      <c r="J13" s="10"/>
      <c r="K13" s="10"/>
      <c r="L13" s="10"/>
      <c r="M13" s="10"/>
      <c r="N13" s="10"/>
      <c r="O13" s="10"/>
      <c r="P13" s="10"/>
      <c r="Q13" s="10"/>
    </row>
    <row r="14" spans="1:22" x14ac:dyDescent="0.25">
      <c r="B14" s="10"/>
      <c r="C14" s="10"/>
      <c r="D14" s="10"/>
      <c r="E14" s="10"/>
      <c r="F14" s="10"/>
      <c r="G14" s="10"/>
      <c r="H14" s="10"/>
      <c r="I14" s="10"/>
      <c r="J14" s="10"/>
      <c r="K14" s="10"/>
      <c r="L14" s="10"/>
      <c r="M14" s="10"/>
      <c r="N14" s="10"/>
      <c r="O14" s="10"/>
      <c r="P14" s="10"/>
      <c r="Q14" s="10"/>
    </row>
    <row r="15" spans="1:22" x14ac:dyDescent="0.25">
      <c r="B15" s="10"/>
      <c r="C15" s="10"/>
      <c r="D15" s="10"/>
      <c r="E15" s="10"/>
      <c r="F15" s="10"/>
      <c r="G15" s="10"/>
      <c r="H15" s="10"/>
      <c r="I15" s="10"/>
      <c r="J15" s="10"/>
      <c r="K15" s="10"/>
      <c r="L15" s="10"/>
      <c r="M15" s="10"/>
      <c r="N15" s="10"/>
      <c r="O15" s="10"/>
      <c r="P15" s="10"/>
      <c r="Q15" s="10"/>
    </row>
    <row r="16" spans="1:22" x14ac:dyDescent="0.25">
      <c r="B16" s="10"/>
      <c r="C16" s="10"/>
      <c r="D16" s="10"/>
      <c r="E16" s="10"/>
      <c r="F16" s="10"/>
      <c r="G16" s="10"/>
      <c r="H16" s="10"/>
      <c r="I16" s="10"/>
      <c r="J16" s="10"/>
      <c r="K16" s="10"/>
      <c r="L16" s="10"/>
      <c r="M16" s="10"/>
      <c r="N16" s="10"/>
      <c r="O16" s="10"/>
      <c r="P16" s="10"/>
      <c r="Q16" s="10"/>
    </row>
    <row r="17" spans="2:17" x14ac:dyDescent="0.25">
      <c r="B17" s="10"/>
      <c r="C17" s="10"/>
      <c r="D17" s="10"/>
      <c r="E17" s="10"/>
      <c r="F17" s="10"/>
      <c r="G17" s="10"/>
      <c r="H17" s="10"/>
      <c r="I17" s="10"/>
      <c r="J17" s="10"/>
      <c r="K17" s="10"/>
      <c r="L17" s="10"/>
      <c r="M17" s="10"/>
      <c r="N17" s="10"/>
      <c r="O17" s="10"/>
      <c r="P17" s="10"/>
      <c r="Q17" s="10"/>
    </row>
    <row r="18" spans="2:17" x14ac:dyDescent="0.25">
      <c r="B18" s="10"/>
      <c r="C18" s="10"/>
      <c r="D18" s="10"/>
      <c r="E18" s="10"/>
      <c r="F18" s="10"/>
      <c r="G18" s="10"/>
      <c r="H18" s="10"/>
      <c r="I18" s="10"/>
      <c r="J18" s="10"/>
      <c r="K18" s="10"/>
      <c r="L18" s="10"/>
      <c r="M18" s="10"/>
      <c r="N18" s="10"/>
      <c r="O18" s="10"/>
      <c r="P18" s="10"/>
      <c r="Q18" s="10"/>
    </row>
    <row r="19" spans="2:17" x14ac:dyDescent="0.25">
      <c r="B19" s="10"/>
      <c r="C19" s="10"/>
      <c r="D19" s="10"/>
      <c r="E19" s="10"/>
      <c r="F19" s="10"/>
      <c r="G19" s="10"/>
      <c r="H19" s="10"/>
      <c r="I19" s="10"/>
      <c r="J19" s="10"/>
      <c r="K19" s="10"/>
      <c r="L19" s="10"/>
      <c r="M19" s="10"/>
      <c r="N19" s="10"/>
      <c r="O19" s="10"/>
      <c r="P19" s="10"/>
      <c r="Q19" s="10"/>
    </row>
    <row r="20" spans="2:17" x14ac:dyDescent="0.25">
      <c r="B20" s="10"/>
      <c r="C20" s="10"/>
      <c r="D20" s="10"/>
      <c r="E20" s="10"/>
      <c r="F20" s="10"/>
      <c r="G20" s="10"/>
      <c r="H20" s="10"/>
      <c r="I20" s="10"/>
      <c r="J20" s="10"/>
      <c r="K20" s="10"/>
      <c r="L20" s="10"/>
      <c r="M20" s="10"/>
      <c r="N20" s="10"/>
      <c r="O20" s="10"/>
      <c r="P20" s="10"/>
      <c r="Q20" s="10"/>
    </row>
    <row r="21" spans="2:17" x14ac:dyDescent="0.25">
      <c r="B21" s="10"/>
      <c r="C21" s="10"/>
      <c r="D21" s="10"/>
      <c r="E21" s="10"/>
      <c r="F21" s="10"/>
      <c r="G21" s="10"/>
      <c r="H21" s="10"/>
      <c r="I21" s="10"/>
      <c r="J21" s="10"/>
      <c r="K21" s="10"/>
      <c r="L21" s="10"/>
      <c r="M21" s="10"/>
      <c r="N21" s="10"/>
      <c r="O21" s="10"/>
      <c r="P21" s="10"/>
      <c r="Q21" s="10"/>
    </row>
    <row r="22" spans="2:17" x14ac:dyDescent="0.25">
      <c r="B22" s="10"/>
      <c r="C22" s="10"/>
      <c r="D22" s="10"/>
      <c r="E22" s="10"/>
      <c r="F22" s="10"/>
      <c r="G22" s="10"/>
      <c r="H22" s="10"/>
      <c r="I22" s="10"/>
      <c r="J22" s="10"/>
      <c r="K22" s="10"/>
      <c r="L22" s="10"/>
      <c r="M22" s="10"/>
      <c r="N22" s="10"/>
      <c r="O22" s="10"/>
      <c r="P22" s="10"/>
      <c r="Q22" s="10"/>
    </row>
    <row r="23" spans="2:17" x14ac:dyDescent="0.25">
      <c r="B23" s="10"/>
      <c r="C23" s="10"/>
      <c r="D23" s="10"/>
      <c r="E23" s="10"/>
      <c r="F23" s="10"/>
      <c r="G23" s="10"/>
      <c r="H23" s="10"/>
      <c r="I23" s="10"/>
      <c r="J23" s="10"/>
      <c r="K23" s="10"/>
      <c r="L23" s="10"/>
      <c r="M23" s="10"/>
      <c r="N23" s="10"/>
      <c r="O23" s="10"/>
      <c r="P23" s="10"/>
      <c r="Q23" s="10"/>
    </row>
    <row r="24" spans="2:17" x14ac:dyDescent="0.25">
      <c r="B24" s="10"/>
      <c r="C24" s="10"/>
      <c r="D24" s="10"/>
      <c r="E24" s="10"/>
      <c r="F24" s="10"/>
      <c r="G24" s="10"/>
      <c r="H24" s="10"/>
      <c r="I24" s="10"/>
      <c r="J24" s="10"/>
      <c r="K24" s="10"/>
      <c r="L24" s="10"/>
      <c r="M24" s="10"/>
      <c r="N24" s="10"/>
      <c r="O24" s="10"/>
      <c r="P24" s="10"/>
      <c r="Q24" s="10"/>
    </row>
    <row r="25" spans="2:17" x14ac:dyDescent="0.25">
      <c r="B25" s="10"/>
      <c r="C25" s="10"/>
      <c r="D25" s="10"/>
      <c r="E25" s="10"/>
      <c r="F25" s="10"/>
      <c r="G25" s="10"/>
      <c r="H25" s="10"/>
      <c r="I25" s="10"/>
      <c r="J25" s="10"/>
      <c r="K25" s="10"/>
      <c r="L25" s="10"/>
      <c r="M25" s="10"/>
      <c r="N25" s="10"/>
      <c r="O25" s="10"/>
      <c r="P25" s="10"/>
      <c r="Q25" s="10"/>
    </row>
    <row r="26" spans="2:17" x14ac:dyDescent="0.25">
      <c r="B26" s="10"/>
      <c r="C26" s="10"/>
      <c r="D26" s="10"/>
      <c r="E26" s="10"/>
      <c r="F26" s="10"/>
      <c r="G26" s="10"/>
      <c r="H26" s="10"/>
      <c r="I26" s="10"/>
      <c r="J26" s="10"/>
      <c r="K26" s="10"/>
      <c r="L26" s="10"/>
      <c r="M26" s="10"/>
      <c r="N26" s="10"/>
      <c r="O26" s="10"/>
      <c r="P26" s="10"/>
      <c r="Q26" s="10"/>
    </row>
    <row r="27" spans="2:17" x14ac:dyDescent="0.25">
      <c r="B27" s="10"/>
      <c r="C27" s="10"/>
      <c r="D27" s="10"/>
      <c r="E27" s="10"/>
      <c r="F27" s="10"/>
      <c r="G27" s="10"/>
      <c r="H27" s="10"/>
      <c r="I27" s="10"/>
      <c r="J27" s="10"/>
      <c r="K27" s="10"/>
      <c r="L27" s="10"/>
      <c r="M27" s="10"/>
      <c r="N27" s="10"/>
      <c r="O27" s="10"/>
      <c r="P27" s="10"/>
      <c r="Q27" s="10"/>
    </row>
    <row r="28" spans="2:17" x14ac:dyDescent="0.25">
      <c r="B28" s="10"/>
      <c r="C28" s="10"/>
      <c r="D28" s="10"/>
      <c r="E28" s="10"/>
      <c r="F28" s="10"/>
      <c r="G28" s="10"/>
      <c r="H28" s="10"/>
      <c r="I28" s="10"/>
      <c r="J28" s="10"/>
      <c r="K28" s="10"/>
      <c r="L28" s="10"/>
      <c r="M28" s="10"/>
      <c r="N28" s="10"/>
      <c r="O28" s="10"/>
      <c r="P28" s="10"/>
      <c r="Q28" s="10"/>
    </row>
    <row r="29" spans="2:17" x14ac:dyDescent="0.25">
      <c r="B29" s="10"/>
      <c r="C29" s="10"/>
      <c r="D29" s="10"/>
      <c r="E29" s="10"/>
      <c r="F29" s="10"/>
      <c r="G29" s="10"/>
      <c r="H29" s="10"/>
      <c r="I29" s="10"/>
      <c r="J29" s="10"/>
      <c r="K29" s="10"/>
      <c r="L29" s="10"/>
      <c r="M29" s="10"/>
      <c r="N29" s="10"/>
      <c r="O29" s="10"/>
      <c r="P29" s="10"/>
      <c r="Q29" s="10"/>
    </row>
    <row r="30" spans="2:17" x14ac:dyDescent="0.25">
      <c r="B30" s="10"/>
      <c r="C30" s="10"/>
      <c r="D30" s="10"/>
      <c r="E30" s="10"/>
      <c r="F30" s="10"/>
      <c r="G30" s="10"/>
      <c r="H30" s="10"/>
      <c r="I30" s="10"/>
      <c r="J30" s="10"/>
      <c r="K30" s="10"/>
      <c r="L30" s="10"/>
      <c r="M30" s="10"/>
      <c r="N30" s="10"/>
      <c r="O30" s="10"/>
      <c r="P30" s="10"/>
      <c r="Q30" s="10"/>
    </row>
    <row r="31" spans="2:17" x14ac:dyDescent="0.25">
      <c r="B31" s="10"/>
      <c r="C31" s="10"/>
      <c r="D31" s="10"/>
      <c r="E31" s="10"/>
      <c r="F31" s="10"/>
      <c r="G31" s="10"/>
      <c r="H31" s="10"/>
      <c r="I31" s="10"/>
      <c r="J31" s="10"/>
      <c r="K31" s="10"/>
      <c r="L31" s="10"/>
      <c r="M31" s="10"/>
      <c r="N31" s="10"/>
      <c r="O31" s="10"/>
      <c r="P31" s="10"/>
      <c r="Q31" s="10"/>
    </row>
    <row r="32" spans="2:17" x14ac:dyDescent="0.25">
      <c r="B32" s="10"/>
      <c r="C32" s="10"/>
      <c r="D32" s="10"/>
      <c r="E32" s="10"/>
      <c r="F32" s="10"/>
      <c r="G32" s="10"/>
      <c r="H32" s="10"/>
      <c r="I32" s="10"/>
      <c r="J32" s="10"/>
      <c r="K32" s="10"/>
      <c r="L32" s="10"/>
      <c r="M32" s="10"/>
      <c r="N32" s="10"/>
      <c r="O32" s="10"/>
      <c r="P32" s="10"/>
      <c r="Q32" s="10"/>
    </row>
    <row r="33" spans="2:17" x14ac:dyDescent="0.25">
      <c r="B33" s="10"/>
      <c r="C33" s="10"/>
      <c r="D33" s="10"/>
      <c r="E33" s="10"/>
      <c r="F33" s="10"/>
      <c r="G33" s="10"/>
      <c r="H33" s="10"/>
      <c r="I33" s="10"/>
      <c r="J33" s="10"/>
      <c r="K33" s="10"/>
      <c r="L33" s="10"/>
      <c r="M33" s="10"/>
      <c r="N33" s="10"/>
      <c r="O33" s="10"/>
      <c r="P33" s="10"/>
      <c r="Q33" s="10"/>
    </row>
    <row r="34" spans="2:17" x14ac:dyDescent="0.25">
      <c r="B34" s="10"/>
      <c r="C34" s="10"/>
      <c r="D34" s="10"/>
      <c r="E34" s="10"/>
      <c r="F34" s="10"/>
      <c r="G34" s="10"/>
      <c r="H34" s="10"/>
      <c r="I34" s="10"/>
      <c r="J34" s="10"/>
      <c r="K34" s="10"/>
      <c r="L34" s="10"/>
      <c r="M34" s="10"/>
      <c r="N34" s="10"/>
      <c r="O34" s="10"/>
      <c r="P34" s="10"/>
      <c r="Q34" s="10"/>
    </row>
    <row r="35" spans="2:17" x14ac:dyDescent="0.25">
      <c r="B35" s="10"/>
      <c r="C35" s="10"/>
      <c r="D35" s="10"/>
      <c r="E35" s="10"/>
      <c r="F35" s="10"/>
      <c r="G35" s="10"/>
      <c r="H35" s="10"/>
      <c r="I35" s="10"/>
      <c r="J35" s="10"/>
      <c r="K35" s="10"/>
      <c r="L35" s="10"/>
      <c r="M35" s="10"/>
      <c r="N35" s="10"/>
      <c r="O35" s="10"/>
      <c r="P35" s="10"/>
      <c r="Q35" s="10"/>
    </row>
    <row r="36" spans="2:17" x14ac:dyDescent="0.25">
      <c r="B36" s="10"/>
      <c r="C36" s="10"/>
      <c r="D36" s="10"/>
      <c r="E36" s="10"/>
      <c r="F36" s="10"/>
      <c r="G36" s="10"/>
      <c r="H36" s="10"/>
      <c r="I36" s="10"/>
      <c r="J36" s="10"/>
      <c r="K36" s="10"/>
      <c r="L36" s="10"/>
      <c r="M36" s="10"/>
      <c r="N36" s="10"/>
      <c r="O36" s="10"/>
      <c r="P36" s="10"/>
      <c r="Q36" s="10"/>
    </row>
    <row r="37" spans="2:17" x14ac:dyDescent="0.25">
      <c r="B37" s="10"/>
      <c r="C37" s="10"/>
      <c r="D37" s="10"/>
      <c r="E37" s="10"/>
      <c r="F37" s="10"/>
      <c r="G37" s="10"/>
      <c r="H37" s="10"/>
      <c r="I37" s="10"/>
      <c r="J37" s="10"/>
      <c r="K37" s="10"/>
      <c r="L37" s="10"/>
      <c r="M37" s="10"/>
      <c r="N37" s="10"/>
      <c r="O37" s="10"/>
      <c r="P37" s="10"/>
      <c r="Q37" s="10"/>
    </row>
  </sheetData>
  <mergeCells count="11">
    <mergeCell ref="C6:D7"/>
    <mergeCell ref="F6:G7"/>
    <mergeCell ref="I6:J7"/>
    <mergeCell ref="L6:M7"/>
    <mergeCell ref="O6:P7"/>
    <mergeCell ref="B2:Q3"/>
    <mergeCell ref="C5:D5"/>
    <mergeCell ref="F5:G5"/>
    <mergeCell ref="I5:J5"/>
    <mergeCell ref="L5:M5"/>
    <mergeCell ref="O5:P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1:D15"/>
  <sheetViews>
    <sheetView workbookViewId="0">
      <selection activeCell="H11" sqref="H11"/>
    </sheetView>
  </sheetViews>
  <sheetFormatPr defaultRowHeight="15" x14ac:dyDescent="0.25"/>
  <cols>
    <col min="1" max="1" width="9.140625" style="2"/>
    <col min="2" max="2" width="7.85546875" style="2" customWidth="1"/>
    <col min="3" max="3" width="18.140625" style="2" bestFit="1" customWidth="1"/>
    <col min="4" max="4" width="9.140625" style="2"/>
    <col min="5" max="5" width="12" style="2" bestFit="1" customWidth="1"/>
    <col min="6" max="16384" width="9.140625" style="2"/>
  </cols>
  <sheetData>
    <row r="1" spans="2:4" ht="15.75" thickBot="1" x14ac:dyDescent="0.3"/>
    <row r="2" spans="2:4" ht="18.75" x14ac:dyDescent="0.25">
      <c r="B2" s="35" t="s">
        <v>749</v>
      </c>
      <c r="C2" s="36"/>
      <c r="D2" s="37"/>
    </row>
    <row r="3" spans="2:4" x14ac:dyDescent="0.25">
      <c r="B3" s="13">
        <v>1</v>
      </c>
      <c r="C3" s="14" t="s">
        <v>750</v>
      </c>
      <c r="D3" s="14">
        <f>AVERAGE(retail_sales_table[[#All],[total_amount]])</f>
        <v>463.57</v>
      </c>
    </row>
    <row r="4" spans="2:4" x14ac:dyDescent="0.25">
      <c r="B4" s="13">
        <v>2</v>
      </c>
      <c r="C4" s="14" t="s">
        <v>751</v>
      </c>
      <c r="D4" s="14">
        <f>MEDIAN(retail_sales_table[[#All],[total_amount]])</f>
        <v>150</v>
      </c>
    </row>
    <row r="5" spans="2:4" x14ac:dyDescent="0.25">
      <c r="B5" s="13">
        <v>3</v>
      </c>
      <c r="C5" s="14" t="s">
        <v>752</v>
      </c>
      <c r="D5" s="14">
        <f>_xlfn.MODE.SNGL(retail_sales_table[[#All],[total_amount]])</f>
        <v>50</v>
      </c>
    </row>
    <row r="6" spans="2:4" x14ac:dyDescent="0.25">
      <c r="B6" s="13">
        <v>4</v>
      </c>
      <c r="C6" s="14" t="s">
        <v>753</v>
      </c>
      <c r="D6" s="14">
        <f>_xlfn.VAR.S(retail_sales_table[[#All],[total_amount]])</f>
        <v>327915.02012012014</v>
      </c>
    </row>
    <row r="7" spans="2:4" x14ac:dyDescent="0.25">
      <c r="B7" s="13">
        <v>5</v>
      </c>
      <c r="C7" s="14" t="s">
        <v>754</v>
      </c>
      <c r="D7" s="14">
        <f>_xlfn.STDEV.S(retail_sales_table[[#All],[total_amount]])</f>
        <v>572.63864707171149</v>
      </c>
    </row>
    <row r="8" spans="2:4" x14ac:dyDescent="0.25">
      <c r="B8" s="13">
        <v>6</v>
      </c>
      <c r="C8" s="14" t="s">
        <v>755</v>
      </c>
      <c r="D8" s="14">
        <f>MIN(retail_sales_table[[#All],[total_amount]])</f>
        <v>25</v>
      </c>
    </row>
    <row r="9" spans="2:4" x14ac:dyDescent="0.25">
      <c r="B9" s="13">
        <v>7</v>
      </c>
      <c r="C9" s="14" t="s">
        <v>756</v>
      </c>
      <c r="D9" s="14">
        <f>MAX(retail_sales_table[[#All],[total_amount]])</f>
        <v>3000</v>
      </c>
    </row>
    <row r="10" spans="2:4" x14ac:dyDescent="0.25">
      <c r="B10" s="13">
        <v>8</v>
      </c>
      <c r="C10" s="14" t="s">
        <v>757</v>
      </c>
      <c r="D10" s="14">
        <f>MAX(retail_sales_table[[#All],[total_amount]])-MIN(retail_sales_table[[#All],[total_amount]])</f>
        <v>2975</v>
      </c>
    </row>
    <row r="11" spans="2:4" x14ac:dyDescent="0.25">
      <c r="B11" s="13">
        <v>9</v>
      </c>
      <c r="C11" s="14" t="s">
        <v>758</v>
      </c>
      <c r="D11" s="14">
        <f>_xlfn.QUARTILE.INC(retail_sales_table[[#All],[total_amount]],1)</f>
        <v>60</v>
      </c>
    </row>
    <row r="12" spans="2:4" x14ac:dyDescent="0.25">
      <c r="B12" s="13">
        <v>10</v>
      </c>
      <c r="C12" s="14" t="s">
        <v>759</v>
      </c>
      <c r="D12" s="14">
        <f>_xlfn.QUARTILE.INC(retail_sales_table[[#All],[total_amount]],2)</f>
        <v>150</v>
      </c>
    </row>
    <row r="13" spans="2:4" x14ac:dyDescent="0.25">
      <c r="B13" s="13">
        <v>11</v>
      </c>
      <c r="C13" s="14" t="s">
        <v>760</v>
      </c>
      <c r="D13" s="14">
        <f>_xlfn.QUARTILE.INC(retail_sales_table[[#All],[total_amount]],3)</f>
        <v>900</v>
      </c>
    </row>
    <row r="14" spans="2:4" x14ac:dyDescent="0.25">
      <c r="B14" s="13">
        <v>12</v>
      </c>
      <c r="C14" s="14" t="s">
        <v>761</v>
      </c>
      <c r="D14" s="14">
        <f>_xlfn.QUARTILE.INC(retail_sales_table[[#All],[total_amount]],3)-_xlfn.QUARTILE.INC(retail_sales_table[[#All],[total_amount]],1)</f>
        <v>840</v>
      </c>
    </row>
    <row r="15" spans="2:4" x14ac:dyDescent="0.25">
      <c r="B15" s="12"/>
    </row>
  </sheetData>
  <mergeCells count="1">
    <mergeCell ref="B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24"/>
  <sheetViews>
    <sheetView workbookViewId="0">
      <selection activeCell="D15" sqref="D15"/>
    </sheetView>
  </sheetViews>
  <sheetFormatPr defaultRowHeight="15" x14ac:dyDescent="0.25"/>
  <cols>
    <col min="1" max="1" width="13.140625" bestFit="1" customWidth="1"/>
    <col min="2" max="2" width="13.28515625" bestFit="1" customWidth="1"/>
    <col min="4" max="4" width="89.140625" style="2" bestFit="1" customWidth="1"/>
  </cols>
  <sheetData>
    <row r="1" spans="1:4" ht="15.75" thickBot="1" x14ac:dyDescent="0.3">
      <c r="A1" s="26" t="s">
        <v>774</v>
      </c>
      <c r="B1" s="27" t="s">
        <v>773</v>
      </c>
    </row>
    <row r="2" spans="1:4" ht="15.75" thickBot="1" x14ac:dyDescent="0.3">
      <c r="A2" s="22">
        <v>150</v>
      </c>
      <c r="B2" s="23">
        <v>1000</v>
      </c>
      <c r="D2" s="20" t="s">
        <v>775</v>
      </c>
    </row>
    <row r="3" spans="1:4" x14ac:dyDescent="0.25">
      <c r="A3" s="22">
        <v>30</v>
      </c>
      <c r="B3" s="23">
        <v>30</v>
      </c>
      <c r="D3" s="21">
        <f>_xlfn.T.TEST(A1:A101, B1:B101, 2,3)</f>
        <v>0.51339762085598584</v>
      </c>
    </row>
    <row r="4" spans="1:4" ht="15.75" thickBot="1" x14ac:dyDescent="0.3">
      <c r="A4" s="22">
        <v>500</v>
      </c>
      <c r="B4" s="23">
        <v>200</v>
      </c>
      <c r="D4" s="19" t="s">
        <v>776</v>
      </c>
    </row>
    <row r="5" spans="1:4" x14ac:dyDescent="0.25">
      <c r="A5" s="22">
        <v>100</v>
      </c>
      <c r="B5" s="23">
        <v>2000</v>
      </c>
    </row>
    <row r="6" spans="1:4" x14ac:dyDescent="0.25">
      <c r="A6" s="22">
        <v>50</v>
      </c>
      <c r="B6" s="23">
        <v>100</v>
      </c>
    </row>
    <row r="7" spans="1:4" x14ac:dyDescent="0.25">
      <c r="A7" s="22">
        <v>100</v>
      </c>
      <c r="B7" s="23">
        <v>50</v>
      </c>
    </row>
    <row r="8" spans="1:4" x14ac:dyDescent="0.25">
      <c r="A8" s="22">
        <v>600</v>
      </c>
      <c r="B8" s="23">
        <v>50</v>
      </c>
    </row>
    <row r="9" spans="1:4" x14ac:dyDescent="0.25">
      <c r="A9" s="22">
        <v>100</v>
      </c>
      <c r="B9" s="23">
        <v>500</v>
      </c>
    </row>
    <row r="10" spans="1:4" x14ac:dyDescent="0.25">
      <c r="A10" s="22">
        <v>75</v>
      </c>
      <c r="B10" s="23">
        <v>120</v>
      </c>
    </row>
    <row r="11" spans="1:4" x14ac:dyDescent="0.25">
      <c r="A11" s="22">
        <v>1500</v>
      </c>
      <c r="B11" s="23">
        <v>300</v>
      </c>
    </row>
    <row r="12" spans="1:4" x14ac:dyDescent="0.25">
      <c r="A12" s="22">
        <v>120</v>
      </c>
      <c r="B12" s="23">
        <v>50</v>
      </c>
    </row>
    <row r="13" spans="1:4" x14ac:dyDescent="0.25">
      <c r="A13" s="22">
        <v>1500</v>
      </c>
      <c r="B13" s="23">
        <v>1000</v>
      </c>
    </row>
    <row r="14" spans="1:4" x14ac:dyDescent="0.25">
      <c r="A14" s="22">
        <v>900</v>
      </c>
      <c r="B14" s="23">
        <v>50</v>
      </c>
    </row>
    <row r="15" spans="1:4" x14ac:dyDescent="0.25">
      <c r="A15" s="22">
        <v>100</v>
      </c>
      <c r="B15" s="23">
        <v>500</v>
      </c>
    </row>
    <row r="16" spans="1:4" x14ac:dyDescent="0.25">
      <c r="A16" s="22">
        <v>1200</v>
      </c>
      <c r="B16" s="23">
        <v>30</v>
      </c>
    </row>
    <row r="17" spans="1:2" x14ac:dyDescent="0.25">
      <c r="A17" s="22">
        <v>90</v>
      </c>
      <c r="B17" s="23">
        <v>900</v>
      </c>
    </row>
    <row r="18" spans="1:2" x14ac:dyDescent="0.25">
      <c r="A18" s="22">
        <v>900</v>
      </c>
      <c r="B18" s="23">
        <v>100</v>
      </c>
    </row>
    <row r="19" spans="1:2" x14ac:dyDescent="0.25">
      <c r="A19" s="22">
        <v>200</v>
      </c>
      <c r="B19" s="23">
        <v>150</v>
      </c>
    </row>
    <row r="20" spans="1:2" x14ac:dyDescent="0.25">
      <c r="A20" s="22">
        <v>120</v>
      </c>
      <c r="B20" s="23">
        <v>900</v>
      </c>
    </row>
    <row r="21" spans="1:2" x14ac:dyDescent="0.25">
      <c r="A21" s="22">
        <v>50</v>
      </c>
      <c r="B21" s="23">
        <v>75</v>
      </c>
    </row>
    <row r="22" spans="1:2" x14ac:dyDescent="0.25">
      <c r="A22" s="22">
        <v>50</v>
      </c>
      <c r="B22" s="23">
        <v>300</v>
      </c>
    </row>
    <row r="23" spans="1:2" x14ac:dyDescent="0.25">
      <c r="A23" s="22">
        <v>900</v>
      </c>
      <c r="B23" s="23">
        <v>25</v>
      </c>
    </row>
    <row r="24" spans="1:2" x14ac:dyDescent="0.25">
      <c r="A24" s="22">
        <v>900</v>
      </c>
      <c r="B24" s="23">
        <v>30</v>
      </c>
    </row>
    <row r="25" spans="1:2" x14ac:dyDescent="0.25">
      <c r="A25" s="22">
        <v>75</v>
      </c>
      <c r="B25" s="23">
        <v>1200</v>
      </c>
    </row>
    <row r="26" spans="1:2" x14ac:dyDescent="0.25">
      <c r="A26" s="22">
        <v>100</v>
      </c>
      <c r="B26" s="23">
        <v>1500</v>
      </c>
    </row>
    <row r="27" spans="1:2" x14ac:dyDescent="0.25">
      <c r="A27" s="22">
        <v>120</v>
      </c>
      <c r="B27" s="23">
        <v>1000</v>
      </c>
    </row>
    <row r="28" spans="1:2" x14ac:dyDescent="0.25">
      <c r="A28" s="22">
        <v>1200</v>
      </c>
      <c r="B28" s="23">
        <v>75</v>
      </c>
    </row>
    <row r="29" spans="1:2" x14ac:dyDescent="0.25">
      <c r="A29" s="22">
        <v>50</v>
      </c>
      <c r="B29" s="23">
        <v>300</v>
      </c>
    </row>
    <row r="30" spans="1:2" x14ac:dyDescent="0.25">
      <c r="A30" s="22">
        <v>150</v>
      </c>
      <c r="B30" s="23">
        <v>1500</v>
      </c>
    </row>
    <row r="31" spans="1:2" x14ac:dyDescent="0.25">
      <c r="A31" s="22">
        <v>200</v>
      </c>
      <c r="B31" s="23">
        <v>900</v>
      </c>
    </row>
    <row r="32" spans="1:2" x14ac:dyDescent="0.25">
      <c r="A32" s="22">
        <v>100</v>
      </c>
      <c r="B32" s="23">
        <v>30</v>
      </c>
    </row>
    <row r="33" spans="1:2" x14ac:dyDescent="0.25">
      <c r="A33" s="22">
        <v>50</v>
      </c>
      <c r="B33" s="23">
        <v>30</v>
      </c>
    </row>
    <row r="34" spans="1:2" x14ac:dyDescent="0.25">
      <c r="A34" s="22">
        <v>100</v>
      </c>
      <c r="B34" s="23">
        <v>1200</v>
      </c>
    </row>
    <row r="35" spans="1:2" x14ac:dyDescent="0.25">
      <c r="A35" s="22">
        <v>2000</v>
      </c>
      <c r="B35" s="23">
        <v>75</v>
      </c>
    </row>
    <row r="36" spans="1:2" x14ac:dyDescent="0.25">
      <c r="A36" s="22">
        <v>300</v>
      </c>
      <c r="B36" s="23">
        <v>300</v>
      </c>
    </row>
    <row r="37" spans="1:2" x14ac:dyDescent="0.25">
      <c r="A37" s="22">
        <v>90</v>
      </c>
      <c r="B37" s="23">
        <v>100</v>
      </c>
    </row>
    <row r="38" spans="1:2" x14ac:dyDescent="0.25">
      <c r="A38" s="22">
        <v>200</v>
      </c>
      <c r="B38" s="23">
        <v>2000</v>
      </c>
    </row>
    <row r="39" spans="1:2" x14ac:dyDescent="0.25">
      <c r="A39" s="22">
        <v>300</v>
      </c>
      <c r="B39" s="23">
        <v>2000</v>
      </c>
    </row>
    <row r="40" spans="1:2" x14ac:dyDescent="0.25">
      <c r="A40" s="22">
        <v>50</v>
      </c>
      <c r="B40" s="23">
        <v>100</v>
      </c>
    </row>
    <row r="41" spans="1:2" x14ac:dyDescent="0.25">
      <c r="A41" s="22">
        <v>100</v>
      </c>
      <c r="B41" s="23">
        <v>100</v>
      </c>
    </row>
    <row r="42" spans="1:2" x14ac:dyDescent="0.25">
      <c r="A42" s="22">
        <v>150</v>
      </c>
      <c r="B42" s="23">
        <v>1500</v>
      </c>
    </row>
    <row r="43" spans="1:2" x14ac:dyDescent="0.25">
      <c r="A43" s="22">
        <v>90</v>
      </c>
      <c r="B43" s="23">
        <v>60</v>
      </c>
    </row>
    <row r="44" spans="1:2" x14ac:dyDescent="0.25">
      <c r="A44" s="22">
        <v>500</v>
      </c>
      <c r="B44" s="23">
        <v>200</v>
      </c>
    </row>
    <row r="45" spans="1:2" x14ac:dyDescent="0.25">
      <c r="A45" s="22">
        <v>30</v>
      </c>
      <c r="B45" s="23">
        <v>90</v>
      </c>
    </row>
    <row r="46" spans="1:2" x14ac:dyDescent="0.25">
      <c r="A46" s="22">
        <v>600</v>
      </c>
      <c r="B46" s="23">
        <v>100</v>
      </c>
    </row>
    <row r="47" spans="1:2" x14ac:dyDescent="0.25">
      <c r="A47" s="22">
        <v>900</v>
      </c>
      <c r="B47" s="23">
        <v>2000</v>
      </c>
    </row>
    <row r="48" spans="1:2" x14ac:dyDescent="0.25">
      <c r="A48" s="22">
        <v>1500</v>
      </c>
      <c r="B48" s="23">
        <v>30</v>
      </c>
    </row>
    <row r="49" spans="1:2" x14ac:dyDescent="0.25">
      <c r="A49" s="22">
        <v>1500</v>
      </c>
      <c r="B49" s="23">
        <v>500</v>
      </c>
    </row>
    <row r="50" spans="1:2" x14ac:dyDescent="0.25">
      <c r="A50" s="22">
        <v>1000</v>
      </c>
      <c r="B50" s="23">
        <v>120</v>
      </c>
    </row>
    <row r="51" spans="1:2" x14ac:dyDescent="0.25">
      <c r="A51" s="22">
        <v>50</v>
      </c>
      <c r="B51" s="23">
        <v>2000</v>
      </c>
    </row>
    <row r="52" spans="1:2" x14ac:dyDescent="0.25">
      <c r="A52" s="22">
        <v>120</v>
      </c>
      <c r="B52" s="23">
        <v>1000</v>
      </c>
    </row>
    <row r="53" spans="1:2" x14ac:dyDescent="0.25">
      <c r="A53" s="22">
        <v>2000</v>
      </c>
      <c r="B53" s="23">
        <v>60</v>
      </c>
    </row>
    <row r="54" spans="1:2" x14ac:dyDescent="0.25">
      <c r="A54" s="22">
        <v>100</v>
      </c>
      <c r="B54" s="23">
        <v>600</v>
      </c>
    </row>
    <row r="55" spans="1:2" x14ac:dyDescent="0.25">
      <c r="A55" s="22">
        <v>500</v>
      </c>
      <c r="B55" s="23">
        <v>1000</v>
      </c>
    </row>
    <row r="56" spans="1:2" x14ac:dyDescent="0.25">
      <c r="A56" s="22">
        <v>200</v>
      </c>
      <c r="B56" s="23">
        <v>100</v>
      </c>
    </row>
    <row r="57" spans="1:2" x14ac:dyDescent="0.25">
      <c r="A57" s="22">
        <v>900</v>
      </c>
      <c r="B57" s="23">
        <v>1200</v>
      </c>
    </row>
    <row r="58" spans="1:2" x14ac:dyDescent="0.25">
      <c r="A58" s="22">
        <v>50</v>
      </c>
      <c r="B58" s="23">
        <v>50</v>
      </c>
    </row>
    <row r="59" spans="1:2" x14ac:dyDescent="0.25">
      <c r="A59" s="22">
        <v>50</v>
      </c>
      <c r="B59" s="23">
        <v>25</v>
      </c>
    </row>
    <row r="60" spans="1:2" x14ac:dyDescent="0.25">
      <c r="A60" s="22">
        <v>600</v>
      </c>
      <c r="B60" s="23">
        <v>1000</v>
      </c>
    </row>
    <row r="61" spans="1:2" x14ac:dyDescent="0.25">
      <c r="A61" s="22">
        <v>1000</v>
      </c>
      <c r="B61" s="23">
        <v>500</v>
      </c>
    </row>
    <row r="62" spans="1:2" x14ac:dyDescent="0.25">
      <c r="A62" s="22">
        <v>200</v>
      </c>
      <c r="B62" s="23">
        <v>50</v>
      </c>
    </row>
    <row r="63" spans="1:2" x14ac:dyDescent="0.25">
      <c r="A63" s="22">
        <v>2000</v>
      </c>
      <c r="B63" s="23">
        <v>1200</v>
      </c>
    </row>
    <row r="64" spans="1:2" x14ac:dyDescent="0.25">
      <c r="A64" s="22">
        <v>30</v>
      </c>
      <c r="B64" s="23">
        <v>75</v>
      </c>
    </row>
    <row r="65" spans="1:2" x14ac:dyDescent="0.25">
      <c r="A65" s="22">
        <v>1200</v>
      </c>
      <c r="B65" s="23">
        <v>2000</v>
      </c>
    </row>
    <row r="66" spans="1:2" x14ac:dyDescent="0.25">
      <c r="A66" s="22">
        <v>200</v>
      </c>
      <c r="B66" s="23">
        <v>1500</v>
      </c>
    </row>
    <row r="67" spans="1:2" x14ac:dyDescent="0.25">
      <c r="A67" s="22">
        <v>300</v>
      </c>
      <c r="B67" s="23">
        <v>50</v>
      </c>
    </row>
    <row r="68" spans="1:2" x14ac:dyDescent="0.25">
      <c r="A68" s="22">
        <v>60</v>
      </c>
      <c r="B68" s="23">
        <v>100</v>
      </c>
    </row>
    <row r="69" spans="1:2" x14ac:dyDescent="0.25">
      <c r="A69" s="22">
        <v>75</v>
      </c>
      <c r="B69" s="23">
        <v>30</v>
      </c>
    </row>
    <row r="70" spans="1:2" x14ac:dyDescent="0.25">
      <c r="A70" s="22">
        <v>50</v>
      </c>
      <c r="B70" s="23">
        <v>500</v>
      </c>
    </row>
    <row r="71" spans="1:2" x14ac:dyDescent="0.25">
      <c r="A71" s="22">
        <v>2000</v>
      </c>
      <c r="B71" s="23">
        <v>150</v>
      </c>
    </row>
    <row r="72" spans="1:2" x14ac:dyDescent="0.25">
      <c r="A72" s="22">
        <v>1000</v>
      </c>
      <c r="B72" s="23">
        <v>200</v>
      </c>
    </row>
    <row r="73" spans="1:2" x14ac:dyDescent="0.25">
      <c r="A73" s="22">
        <v>900</v>
      </c>
      <c r="B73" s="23">
        <v>60</v>
      </c>
    </row>
    <row r="74" spans="1:2" x14ac:dyDescent="0.25">
      <c r="A74" s="22">
        <v>2000</v>
      </c>
      <c r="B74" s="23">
        <v>90</v>
      </c>
    </row>
    <row r="75" spans="1:2" x14ac:dyDescent="0.25">
      <c r="A75" s="22">
        <v>2000</v>
      </c>
      <c r="B75" s="23">
        <v>50</v>
      </c>
    </row>
    <row r="76" spans="1:2" x14ac:dyDescent="0.25">
      <c r="A76" s="22">
        <v>200</v>
      </c>
      <c r="B76" s="23">
        <v>600</v>
      </c>
    </row>
    <row r="77" spans="1:2" x14ac:dyDescent="0.25">
      <c r="A77" s="22">
        <v>1000</v>
      </c>
      <c r="B77" s="23">
        <v>1000</v>
      </c>
    </row>
    <row r="78" spans="1:2" x14ac:dyDescent="0.25">
      <c r="A78" s="22">
        <v>60</v>
      </c>
      <c r="B78" s="23">
        <v>600</v>
      </c>
    </row>
    <row r="79" spans="1:2" x14ac:dyDescent="0.25">
      <c r="A79" s="22">
        <v>50</v>
      </c>
      <c r="B79" s="23">
        <v>50</v>
      </c>
    </row>
    <row r="80" spans="1:2" x14ac:dyDescent="0.25">
      <c r="A80" s="22">
        <v>120</v>
      </c>
      <c r="B80" s="23">
        <v>200</v>
      </c>
    </row>
    <row r="81" spans="1:2" x14ac:dyDescent="0.25">
      <c r="A81" s="22">
        <v>100</v>
      </c>
      <c r="B81" s="23">
        <v>1500</v>
      </c>
    </row>
    <row r="82" spans="1:2" x14ac:dyDescent="0.25">
      <c r="A82" s="22">
        <v>100</v>
      </c>
      <c r="B82" s="23">
        <v>75</v>
      </c>
    </row>
    <row r="83" spans="1:2" x14ac:dyDescent="0.25">
      <c r="A83" s="22">
        <v>300</v>
      </c>
      <c r="B83" s="23">
        <v>120</v>
      </c>
    </row>
    <row r="84" spans="1:2" x14ac:dyDescent="0.25">
      <c r="A84" s="22">
        <v>1200</v>
      </c>
      <c r="B84" s="23">
        <v>100</v>
      </c>
    </row>
    <row r="85" spans="1:2" x14ac:dyDescent="0.25">
      <c r="A85" s="22">
        <v>120</v>
      </c>
      <c r="B85" s="23">
        <v>900</v>
      </c>
    </row>
    <row r="86" spans="1:2" x14ac:dyDescent="0.25">
      <c r="A86" s="22">
        <v>25</v>
      </c>
      <c r="B86" s="23">
        <v>100</v>
      </c>
    </row>
    <row r="87" spans="1:2" x14ac:dyDescent="0.25">
      <c r="A87" s="22">
        <v>200</v>
      </c>
      <c r="B87" s="23">
        <v>150</v>
      </c>
    </row>
    <row r="88" spans="1:2" x14ac:dyDescent="0.25">
      <c r="A88" s="22">
        <v>75</v>
      </c>
      <c r="B88" s="23">
        <v>1500</v>
      </c>
    </row>
    <row r="89" spans="1:2" x14ac:dyDescent="0.25">
      <c r="A89" s="22">
        <v>90</v>
      </c>
      <c r="B89" s="23">
        <v>1200</v>
      </c>
    </row>
    <row r="90" spans="1:2" x14ac:dyDescent="0.25">
      <c r="A90" s="22">
        <v>25</v>
      </c>
      <c r="B90" s="23">
        <v>2000</v>
      </c>
    </row>
    <row r="91" spans="1:2" x14ac:dyDescent="0.25">
      <c r="A91" s="22">
        <v>100</v>
      </c>
      <c r="B91" s="23">
        <v>150</v>
      </c>
    </row>
    <row r="92" spans="1:2" x14ac:dyDescent="0.25">
      <c r="A92" s="22">
        <v>200</v>
      </c>
      <c r="B92" s="23">
        <v>300</v>
      </c>
    </row>
    <row r="93" spans="1:2" x14ac:dyDescent="0.25">
      <c r="A93" s="22">
        <v>30</v>
      </c>
      <c r="B93" s="23">
        <v>1500</v>
      </c>
    </row>
    <row r="94" spans="1:2" x14ac:dyDescent="0.25">
      <c r="A94" s="22">
        <v>900</v>
      </c>
      <c r="B94" s="23">
        <v>50</v>
      </c>
    </row>
    <row r="95" spans="1:2" x14ac:dyDescent="0.25">
      <c r="A95" s="22">
        <v>900</v>
      </c>
      <c r="B95" s="23">
        <v>900</v>
      </c>
    </row>
    <row r="96" spans="1:2" x14ac:dyDescent="0.25">
      <c r="A96" s="22">
        <v>1500</v>
      </c>
      <c r="B96" s="23">
        <v>300</v>
      </c>
    </row>
    <row r="97" spans="1:2" x14ac:dyDescent="0.25">
      <c r="A97" s="22">
        <v>150</v>
      </c>
      <c r="B97" s="23">
        <v>100</v>
      </c>
    </row>
    <row r="98" spans="1:2" x14ac:dyDescent="0.25">
      <c r="A98" s="22">
        <v>25</v>
      </c>
      <c r="B98" s="23">
        <v>60</v>
      </c>
    </row>
    <row r="99" spans="1:2" x14ac:dyDescent="0.25">
      <c r="A99" s="22">
        <v>1200</v>
      </c>
      <c r="B99" s="23">
        <v>900</v>
      </c>
    </row>
    <row r="100" spans="1:2" x14ac:dyDescent="0.25">
      <c r="A100" s="22">
        <v>1000</v>
      </c>
      <c r="B100" s="23">
        <v>900</v>
      </c>
    </row>
    <row r="101" spans="1:2" x14ac:dyDescent="0.25">
      <c r="A101" s="22">
        <v>25</v>
      </c>
      <c r="B101" s="23">
        <v>200</v>
      </c>
    </row>
    <row r="102" spans="1:2" x14ac:dyDescent="0.25">
      <c r="A102" s="22">
        <v>25</v>
      </c>
      <c r="B102" s="23">
        <v>100</v>
      </c>
    </row>
    <row r="103" spans="1:2" x14ac:dyDescent="0.25">
      <c r="A103" s="22">
        <v>1500</v>
      </c>
      <c r="B103" s="23">
        <v>50</v>
      </c>
    </row>
    <row r="104" spans="1:2" x14ac:dyDescent="0.25">
      <c r="A104" s="22">
        <v>60</v>
      </c>
      <c r="B104" s="23">
        <v>1500</v>
      </c>
    </row>
    <row r="105" spans="1:2" x14ac:dyDescent="0.25">
      <c r="A105" s="22">
        <v>100</v>
      </c>
      <c r="B105" s="23">
        <v>200</v>
      </c>
    </row>
    <row r="106" spans="1:2" x14ac:dyDescent="0.25">
      <c r="A106" s="22">
        <v>90</v>
      </c>
      <c r="B106" s="23">
        <v>25</v>
      </c>
    </row>
    <row r="107" spans="1:2" x14ac:dyDescent="0.25">
      <c r="A107" s="22">
        <v>90</v>
      </c>
      <c r="B107" s="23">
        <v>50</v>
      </c>
    </row>
    <row r="108" spans="1:2" x14ac:dyDescent="0.25">
      <c r="A108" s="22">
        <v>120</v>
      </c>
      <c r="B108" s="23">
        <v>200</v>
      </c>
    </row>
    <row r="109" spans="1:2" x14ac:dyDescent="0.25">
      <c r="A109" s="22">
        <v>25</v>
      </c>
      <c r="B109" s="23">
        <v>200</v>
      </c>
    </row>
    <row r="110" spans="1:2" x14ac:dyDescent="0.25">
      <c r="A110" s="22">
        <v>100</v>
      </c>
      <c r="B110" s="23">
        <v>200</v>
      </c>
    </row>
    <row r="111" spans="1:2" x14ac:dyDescent="0.25">
      <c r="A111" s="22">
        <v>60</v>
      </c>
      <c r="B111" s="23">
        <v>1500</v>
      </c>
    </row>
    <row r="112" spans="1:2" x14ac:dyDescent="0.25">
      <c r="A112" s="22">
        <v>90</v>
      </c>
      <c r="B112" s="23">
        <v>1500</v>
      </c>
    </row>
    <row r="113" spans="1:2" x14ac:dyDescent="0.25">
      <c r="A113" s="22">
        <v>25</v>
      </c>
      <c r="B113" s="23">
        <v>1500</v>
      </c>
    </row>
    <row r="114" spans="1:2" x14ac:dyDescent="0.25">
      <c r="A114" s="22">
        <v>150</v>
      </c>
      <c r="B114" s="23">
        <v>200</v>
      </c>
    </row>
    <row r="115" spans="1:2" x14ac:dyDescent="0.25">
      <c r="A115" s="22">
        <v>25</v>
      </c>
      <c r="B115" s="23">
        <v>500</v>
      </c>
    </row>
    <row r="116" spans="1:2" x14ac:dyDescent="0.25">
      <c r="A116" s="22">
        <v>50</v>
      </c>
      <c r="B116" s="23">
        <v>600</v>
      </c>
    </row>
    <row r="117" spans="1:2" x14ac:dyDescent="0.25">
      <c r="A117" s="22">
        <v>1000</v>
      </c>
      <c r="B117" s="23">
        <v>50</v>
      </c>
    </row>
    <row r="118" spans="1:2" x14ac:dyDescent="0.25">
      <c r="A118" s="22">
        <v>25</v>
      </c>
      <c r="B118" s="23">
        <v>100</v>
      </c>
    </row>
    <row r="119" spans="1:2" x14ac:dyDescent="0.25">
      <c r="A119" s="22">
        <v>500</v>
      </c>
      <c r="B119" s="23">
        <v>50</v>
      </c>
    </row>
    <row r="120" spans="1:2" x14ac:dyDescent="0.25">
      <c r="A120" s="22">
        <v>1500</v>
      </c>
      <c r="B120" s="23">
        <v>600</v>
      </c>
    </row>
    <row r="121" spans="1:2" x14ac:dyDescent="0.25">
      <c r="A121" s="22">
        <v>75</v>
      </c>
      <c r="B121" s="23">
        <v>1000</v>
      </c>
    </row>
    <row r="122" spans="1:2" x14ac:dyDescent="0.25">
      <c r="A122" s="22">
        <v>25</v>
      </c>
      <c r="B122" s="23">
        <v>300</v>
      </c>
    </row>
    <row r="123" spans="1:2" x14ac:dyDescent="0.25">
      <c r="A123" s="22">
        <v>900</v>
      </c>
      <c r="B123" s="23">
        <v>50</v>
      </c>
    </row>
    <row r="124" spans="1:2" x14ac:dyDescent="0.25">
      <c r="A124" s="22">
        <v>100</v>
      </c>
      <c r="B124" s="23">
        <v>60</v>
      </c>
    </row>
    <row r="125" spans="1:2" x14ac:dyDescent="0.25">
      <c r="A125" s="22">
        <v>90</v>
      </c>
      <c r="B125" s="23">
        <v>900</v>
      </c>
    </row>
    <row r="126" spans="1:2" x14ac:dyDescent="0.25">
      <c r="A126" s="22">
        <v>50</v>
      </c>
      <c r="B126" s="23">
        <v>300</v>
      </c>
    </row>
    <row r="127" spans="1:2" x14ac:dyDescent="0.25">
      <c r="A127" s="22">
        <v>50</v>
      </c>
      <c r="B127" s="23">
        <v>30</v>
      </c>
    </row>
    <row r="128" spans="1:2" x14ac:dyDescent="0.25">
      <c r="A128" s="22">
        <v>200</v>
      </c>
      <c r="B128" s="23">
        <v>2000</v>
      </c>
    </row>
    <row r="129" spans="1:2" x14ac:dyDescent="0.25">
      <c r="A129" s="22">
        <v>2000</v>
      </c>
      <c r="B129" s="23">
        <v>300</v>
      </c>
    </row>
    <row r="130" spans="1:2" x14ac:dyDescent="0.25">
      <c r="A130" s="22">
        <v>500</v>
      </c>
      <c r="B130" s="23">
        <v>200</v>
      </c>
    </row>
    <row r="131" spans="1:2" x14ac:dyDescent="0.25">
      <c r="A131" s="22">
        <v>1000</v>
      </c>
      <c r="B131" s="23">
        <v>90</v>
      </c>
    </row>
    <row r="132" spans="1:2" x14ac:dyDescent="0.25">
      <c r="A132" s="22">
        <v>60</v>
      </c>
      <c r="B132" s="23">
        <v>2000</v>
      </c>
    </row>
    <row r="133" spans="1:2" x14ac:dyDescent="0.25">
      <c r="A133" s="22">
        <v>50</v>
      </c>
      <c r="B133" s="23">
        <v>50</v>
      </c>
    </row>
    <row r="134" spans="1:2" x14ac:dyDescent="0.25">
      <c r="A134" s="22">
        <v>120</v>
      </c>
      <c r="B134" s="23">
        <v>1000</v>
      </c>
    </row>
    <row r="135" spans="1:2" x14ac:dyDescent="0.25">
      <c r="A135" s="22">
        <v>60</v>
      </c>
      <c r="B135" s="23">
        <v>1000</v>
      </c>
    </row>
    <row r="136" spans="1:2" x14ac:dyDescent="0.25">
      <c r="A136" s="22">
        <v>900</v>
      </c>
      <c r="B136" s="23">
        <v>100</v>
      </c>
    </row>
    <row r="137" spans="1:2" x14ac:dyDescent="0.25">
      <c r="A137" s="22">
        <v>900</v>
      </c>
      <c r="B137" s="23">
        <v>100</v>
      </c>
    </row>
    <row r="138" spans="1:2" x14ac:dyDescent="0.25">
      <c r="A138" s="22">
        <v>60</v>
      </c>
      <c r="B138" s="23">
        <v>2000</v>
      </c>
    </row>
    <row r="139" spans="1:2" x14ac:dyDescent="0.25">
      <c r="A139" s="22">
        <v>30</v>
      </c>
      <c r="B139" s="23">
        <v>200</v>
      </c>
    </row>
    <row r="140" spans="1:2" x14ac:dyDescent="0.25">
      <c r="A140" s="22">
        <v>300</v>
      </c>
      <c r="B140" s="23">
        <v>500</v>
      </c>
    </row>
    <row r="141" spans="1:2" x14ac:dyDescent="0.25">
      <c r="A141" s="22">
        <v>120</v>
      </c>
      <c r="B141" s="23">
        <v>200</v>
      </c>
    </row>
    <row r="142" spans="1:2" x14ac:dyDescent="0.25">
      <c r="A142" s="22">
        <v>100</v>
      </c>
      <c r="B142" s="23">
        <v>25</v>
      </c>
    </row>
    <row r="143" spans="1:2" x14ac:dyDescent="0.25">
      <c r="A143" s="22">
        <v>100</v>
      </c>
      <c r="B143" s="23">
        <v>50</v>
      </c>
    </row>
    <row r="144" spans="1:2" x14ac:dyDescent="0.25">
      <c r="A144" s="22">
        <v>500</v>
      </c>
      <c r="B144" s="23">
        <v>100</v>
      </c>
    </row>
    <row r="145" spans="1:2" x14ac:dyDescent="0.25">
      <c r="A145" s="22">
        <v>1500</v>
      </c>
      <c r="B145" s="23">
        <v>120</v>
      </c>
    </row>
    <row r="146" spans="1:2" x14ac:dyDescent="0.25">
      <c r="A146" s="22">
        <v>60</v>
      </c>
      <c r="B146" s="23">
        <v>600</v>
      </c>
    </row>
    <row r="147" spans="1:2" x14ac:dyDescent="0.25">
      <c r="A147" s="22">
        <v>1200</v>
      </c>
      <c r="B147" s="23">
        <v>600</v>
      </c>
    </row>
    <row r="148" spans="1:2" x14ac:dyDescent="0.25">
      <c r="A148" s="22">
        <v>90</v>
      </c>
      <c r="B148" s="23">
        <v>90</v>
      </c>
    </row>
    <row r="149" spans="1:2" x14ac:dyDescent="0.25">
      <c r="A149" s="22">
        <v>900</v>
      </c>
      <c r="B149" s="23">
        <v>1200</v>
      </c>
    </row>
    <row r="150" spans="1:2" x14ac:dyDescent="0.25">
      <c r="A150" s="22">
        <v>1000</v>
      </c>
      <c r="B150" s="23">
        <v>120</v>
      </c>
    </row>
    <row r="151" spans="1:2" x14ac:dyDescent="0.25">
      <c r="A151" s="22">
        <v>1200</v>
      </c>
      <c r="B151" s="23">
        <v>90</v>
      </c>
    </row>
    <row r="152" spans="1:2" x14ac:dyDescent="0.25">
      <c r="A152" s="22">
        <v>1000</v>
      </c>
      <c r="B152" s="23">
        <v>1200</v>
      </c>
    </row>
    <row r="153" spans="1:2" x14ac:dyDescent="0.25">
      <c r="A153" s="22">
        <v>200</v>
      </c>
      <c r="B153" s="23">
        <v>25</v>
      </c>
    </row>
    <row r="154" spans="1:2" x14ac:dyDescent="0.25">
      <c r="A154" s="22">
        <v>600</v>
      </c>
      <c r="B154" s="23">
        <v>120</v>
      </c>
    </row>
    <row r="155" spans="1:2" x14ac:dyDescent="0.25">
      <c r="A155" s="22">
        <v>60</v>
      </c>
      <c r="B155" s="23">
        <v>50</v>
      </c>
    </row>
    <row r="156" spans="1:2" x14ac:dyDescent="0.25">
      <c r="A156" s="22">
        <v>30</v>
      </c>
      <c r="B156" s="23">
        <v>90</v>
      </c>
    </row>
    <row r="157" spans="1:2" x14ac:dyDescent="0.25">
      <c r="A157" s="22">
        <v>50</v>
      </c>
      <c r="B157" s="23">
        <v>25</v>
      </c>
    </row>
    <row r="158" spans="1:2" x14ac:dyDescent="0.25">
      <c r="A158" s="22">
        <v>50</v>
      </c>
      <c r="B158" s="23">
        <v>50</v>
      </c>
    </row>
    <row r="159" spans="1:2" x14ac:dyDescent="0.25">
      <c r="A159" s="22">
        <v>25</v>
      </c>
      <c r="B159" s="23">
        <v>500</v>
      </c>
    </row>
    <row r="160" spans="1:2" x14ac:dyDescent="0.25">
      <c r="A160" s="22">
        <v>100</v>
      </c>
      <c r="B160" s="23">
        <v>900</v>
      </c>
    </row>
    <row r="161" spans="1:2" x14ac:dyDescent="0.25">
      <c r="A161" s="22">
        <v>1500</v>
      </c>
      <c r="B161" s="23">
        <v>150</v>
      </c>
    </row>
    <row r="162" spans="1:2" x14ac:dyDescent="0.25">
      <c r="A162" s="22">
        <v>120</v>
      </c>
      <c r="B162" s="23">
        <v>75</v>
      </c>
    </row>
    <row r="163" spans="1:2" x14ac:dyDescent="0.25">
      <c r="A163" s="22">
        <v>60</v>
      </c>
      <c r="B163" s="23">
        <v>100</v>
      </c>
    </row>
    <row r="164" spans="1:2" x14ac:dyDescent="0.25">
      <c r="A164" s="22">
        <v>500</v>
      </c>
      <c r="B164" s="23">
        <v>200</v>
      </c>
    </row>
    <row r="165" spans="1:2" x14ac:dyDescent="0.25">
      <c r="A165" s="22">
        <v>1200</v>
      </c>
      <c r="B165" s="23">
        <v>90</v>
      </c>
    </row>
    <row r="166" spans="1:2" x14ac:dyDescent="0.25">
      <c r="A166" s="22">
        <v>50</v>
      </c>
      <c r="B166" s="23">
        <v>1200</v>
      </c>
    </row>
    <row r="167" spans="1:2" x14ac:dyDescent="0.25">
      <c r="A167" s="22">
        <v>150</v>
      </c>
      <c r="B167" s="23">
        <v>1200</v>
      </c>
    </row>
    <row r="168" spans="1:2" x14ac:dyDescent="0.25">
      <c r="A168" s="22">
        <v>100</v>
      </c>
      <c r="B168" s="23">
        <v>120</v>
      </c>
    </row>
    <row r="169" spans="1:2" x14ac:dyDescent="0.25">
      <c r="A169" s="22">
        <v>900</v>
      </c>
      <c r="B169" s="23">
        <v>1200</v>
      </c>
    </row>
    <row r="170" spans="1:2" x14ac:dyDescent="0.25">
      <c r="A170" s="22">
        <v>150</v>
      </c>
      <c r="B170" s="23">
        <v>30</v>
      </c>
    </row>
    <row r="171" spans="1:2" x14ac:dyDescent="0.25">
      <c r="A171" s="22">
        <v>500</v>
      </c>
      <c r="B171" s="23">
        <v>30</v>
      </c>
    </row>
    <row r="172" spans="1:2" x14ac:dyDescent="0.25">
      <c r="A172" s="22">
        <v>100</v>
      </c>
      <c r="B172" s="23">
        <v>1000</v>
      </c>
    </row>
    <row r="173" spans="1:2" x14ac:dyDescent="0.25">
      <c r="A173" s="22">
        <v>50</v>
      </c>
      <c r="B173" s="23">
        <v>25</v>
      </c>
    </row>
    <row r="174" spans="1:2" x14ac:dyDescent="0.25">
      <c r="A174" s="22">
        <v>200</v>
      </c>
      <c r="B174" s="23">
        <v>75</v>
      </c>
    </row>
    <row r="175" spans="1:2" x14ac:dyDescent="0.25">
      <c r="A175" s="22">
        <v>2000</v>
      </c>
      <c r="B175" s="23">
        <v>200</v>
      </c>
    </row>
    <row r="176" spans="1:2" x14ac:dyDescent="0.25">
      <c r="A176" s="22">
        <v>50</v>
      </c>
      <c r="B176" s="23">
        <v>500</v>
      </c>
    </row>
    <row r="177" spans="1:2" x14ac:dyDescent="0.25">
      <c r="A177" s="22">
        <v>600</v>
      </c>
      <c r="B177" s="23">
        <v>75</v>
      </c>
    </row>
    <row r="178" spans="1:2" x14ac:dyDescent="0.25">
      <c r="A178" s="22">
        <v>50</v>
      </c>
      <c r="B178" s="23">
        <v>300</v>
      </c>
    </row>
    <row r="179" spans="1:2" x14ac:dyDescent="0.25">
      <c r="A179" s="22">
        <v>90</v>
      </c>
      <c r="B179" s="23">
        <v>50</v>
      </c>
    </row>
    <row r="180" spans="1:2" x14ac:dyDescent="0.25">
      <c r="A180" s="22">
        <v>1000</v>
      </c>
      <c r="B180" s="23">
        <v>100</v>
      </c>
    </row>
    <row r="181" spans="1:2" x14ac:dyDescent="0.25">
      <c r="A181" s="22">
        <v>500</v>
      </c>
      <c r="B181" s="23">
        <v>1200</v>
      </c>
    </row>
    <row r="182" spans="1:2" x14ac:dyDescent="0.25">
      <c r="A182" s="22">
        <v>1500</v>
      </c>
      <c r="B182" s="23">
        <v>175</v>
      </c>
    </row>
    <row r="183" spans="1:2" x14ac:dyDescent="0.25">
      <c r="A183" s="22">
        <v>25</v>
      </c>
      <c r="B183" s="23">
        <v>100</v>
      </c>
    </row>
    <row r="184" spans="1:2" x14ac:dyDescent="0.25">
      <c r="A184" s="22">
        <v>500</v>
      </c>
      <c r="B184" s="23">
        <v>1200</v>
      </c>
    </row>
    <row r="185" spans="1:2" x14ac:dyDescent="0.25">
      <c r="A185" s="22">
        <v>300</v>
      </c>
      <c r="B185" s="23">
        <v>60</v>
      </c>
    </row>
    <row r="186" spans="1:2" x14ac:dyDescent="0.25">
      <c r="A186" s="22">
        <v>50</v>
      </c>
      <c r="B186" s="23">
        <v>25</v>
      </c>
    </row>
    <row r="187" spans="1:2" x14ac:dyDescent="0.25">
      <c r="A187" s="22">
        <v>500</v>
      </c>
      <c r="B187" s="23">
        <v>1500</v>
      </c>
    </row>
    <row r="188" spans="1:2" x14ac:dyDescent="0.25">
      <c r="A188" s="22">
        <v>30</v>
      </c>
      <c r="B188" s="23">
        <v>600</v>
      </c>
    </row>
    <row r="189" spans="1:2" x14ac:dyDescent="0.25">
      <c r="A189" s="22">
        <v>300</v>
      </c>
      <c r="B189" s="23">
        <v>75</v>
      </c>
    </row>
    <row r="190" spans="1:2" x14ac:dyDescent="0.25">
      <c r="A190" s="22">
        <v>25</v>
      </c>
      <c r="B190" s="23">
        <v>50</v>
      </c>
    </row>
    <row r="191" spans="1:2" x14ac:dyDescent="0.25">
      <c r="A191" s="22">
        <v>30</v>
      </c>
      <c r="B191" s="23">
        <v>200</v>
      </c>
    </row>
    <row r="192" spans="1:2" x14ac:dyDescent="0.25">
      <c r="A192" s="22">
        <v>50</v>
      </c>
      <c r="B192" s="23">
        <v>600</v>
      </c>
    </row>
    <row r="193" spans="1:2" x14ac:dyDescent="0.25">
      <c r="A193" s="22">
        <v>500</v>
      </c>
      <c r="B193" s="23">
        <v>100</v>
      </c>
    </row>
    <row r="194" spans="1:2" x14ac:dyDescent="0.25">
      <c r="A194" s="22">
        <v>25</v>
      </c>
      <c r="B194" s="23">
        <v>1000</v>
      </c>
    </row>
    <row r="195" spans="1:2" x14ac:dyDescent="0.25">
      <c r="A195" s="22">
        <v>1000</v>
      </c>
      <c r="B195" s="23">
        <v>90</v>
      </c>
    </row>
    <row r="196" spans="1:2" x14ac:dyDescent="0.25">
      <c r="A196" s="22">
        <v>100</v>
      </c>
      <c r="B196" s="23">
        <v>2500</v>
      </c>
    </row>
    <row r="197" spans="1:2" x14ac:dyDescent="0.25">
      <c r="A197" s="22">
        <v>900</v>
      </c>
      <c r="B197" s="23">
        <v>1500</v>
      </c>
    </row>
    <row r="198" spans="1:2" x14ac:dyDescent="0.25">
      <c r="A198" s="22">
        <v>60</v>
      </c>
      <c r="B198" s="23">
        <v>600</v>
      </c>
    </row>
    <row r="199" spans="1:2" x14ac:dyDescent="0.25">
      <c r="A199" s="22">
        <v>2000</v>
      </c>
      <c r="B199" s="23">
        <v>25</v>
      </c>
    </row>
    <row r="200" spans="1:2" x14ac:dyDescent="0.25">
      <c r="A200" s="22">
        <v>900</v>
      </c>
      <c r="B200" s="23">
        <v>50</v>
      </c>
    </row>
    <row r="201" spans="1:2" x14ac:dyDescent="0.25">
      <c r="A201" s="22">
        <v>1000</v>
      </c>
      <c r="B201" s="23">
        <v>100</v>
      </c>
    </row>
    <row r="202" spans="1:2" x14ac:dyDescent="0.25">
      <c r="A202" s="22">
        <v>1500</v>
      </c>
      <c r="B202" s="23">
        <v>600</v>
      </c>
    </row>
    <row r="203" spans="1:2" x14ac:dyDescent="0.25">
      <c r="A203" s="22">
        <v>150</v>
      </c>
      <c r="B203" s="23">
        <v>1000</v>
      </c>
    </row>
    <row r="204" spans="1:2" x14ac:dyDescent="0.25">
      <c r="A204" s="22">
        <v>25</v>
      </c>
      <c r="B204" s="23">
        <v>1000</v>
      </c>
    </row>
    <row r="205" spans="1:2" x14ac:dyDescent="0.25">
      <c r="A205" s="22">
        <v>900</v>
      </c>
      <c r="B205" s="23">
        <v>30</v>
      </c>
    </row>
    <row r="206" spans="1:2" x14ac:dyDescent="0.25">
      <c r="A206" s="22">
        <v>1200</v>
      </c>
      <c r="B206" s="23">
        <v>600</v>
      </c>
    </row>
    <row r="207" spans="1:2" x14ac:dyDescent="0.25">
      <c r="A207" s="22">
        <v>200</v>
      </c>
      <c r="B207" s="23">
        <v>60</v>
      </c>
    </row>
    <row r="208" spans="1:2" x14ac:dyDescent="0.25">
      <c r="A208" s="22">
        <v>120</v>
      </c>
      <c r="B208" s="23">
        <v>200</v>
      </c>
    </row>
    <row r="209" spans="1:2" x14ac:dyDescent="0.25">
      <c r="A209" s="22">
        <v>1200</v>
      </c>
      <c r="B209" s="23">
        <v>300</v>
      </c>
    </row>
    <row r="210" spans="1:2" x14ac:dyDescent="0.25">
      <c r="A210" s="22">
        <v>600</v>
      </c>
      <c r="B210" s="23">
        <v>600</v>
      </c>
    </row>
    <row r="211" spans="1:2" x14ac:dyDescent="0.25">
      <c r="A211" s="22">
        <v>100</v>
      </c>
      <c r="B211" s="23">
        <v>600</v>
      </c>
    </row>
    <row r="212" spans="1:2" x14ac:dyDescent="0.25">
      <c r="A212" s="22">
        <v>90</v>
      </c>
      <c r="B212" s="23">
        <v>1200</v>
      </c>
    </row>
    <row r="213" spans="1:2" x14ac:dyDescent="0.25">
      <c r="A213" s="22">
        <v>300</v>
      </c>
      <c r="B213" s="23">
        <v>500</v>
      </c>
    </row>
    <row r="214" spans="1:2" x14ac:dyDescent="0.25">
      <c r="A214" s="22">
        <v>50</v>
      </c>
      <c r="B214" s="23">
        <v>900</v>
      </c>
    </row>
    <row r="215" spans="1:2" x14ac:dyDescent="0.25">
      <c r="A215" s="22">
        <v>200</v>
      </c>
      <c r="B215" s="23">
        <v>100</v>
      </c>
    </row>
    <row r="216" spans="1:2" x14ac:dyDescent="0.25">
      <c r="A216" s="22">
        <v>30</v>
      </c>
      <c r="B216" s="23">
        <v>200</v>
      </c>
    </row>
    <row r="217" spans="1:2" x14ac:dyDescent="0.25">
      <c r="A217" s="22">
        <v>1500</v>
      </c>
      <c r="B217" s="23">
        <v>2000</v>
      </c>
    </row>
    <row r="218" spans="1:2" x14ac:dyDescent="0.25">
      <c r="A218" s="22">
        <v>100</v>
      </c>
      <c r="B218" s="23">
        <v>75</v>
      </c>
    </row>
    <row r="219" spans="1:2" x14ac:dyDescent="0.25">
      <c r="A219" s="22">
        <v>100</v>
      </c>
      <c r="B219" s="23">
        <v>100</v>
      </c>
    </row>
    <row r="220" spans="1:2" x14ac:dyDescent="0.25">
      <c r="A220" s="22">
        <v>1200</v>
      </c>
      <c r="B220" s="23">
        <v>90</v>
      </c>
    </row>
    <row r="221" spans="1:2" x14ac:dyDescent="0.25">
      <c r="A221" s="22">
        <v>1000</v>
      </c>
      <c r="B221" s="23">
        <v>2000</v>
      </c>
    </row>
    <row r="222" spans="1:2" x14ac:dyDescent="0.25">
      <c r="A222" s="22">
        <v>1200</v>
      </c>
      <c r="B222" s="23">
        <v>90</v>
      </c>
    </row>
    <row r="223" spans="1:2" x14ac:dyDescent="0.25">
      <c r="A223" s="22">
        <v>600</v>
      </c>
      <c r="B223" s="23">
        <v>25</v>
      </c>
    </row>
    <row r="224" spans="1:2" x14ac:dyDescent="0.25">
      <c r="A224" s="22">
        <v>150</v>
      </c>
      <c r="B224" s="23">
        <v>1200</v>
      </c>
    </row>
    <row r="225" spans="1:2" x14ac:dyDescent="0.25">
      <c r="A225" s="22">
        <v>25</v>
      </c>
      <c r="B225" s="23">
        <v>120</v>
      </c>
    </row>
    <row r="226" spans="1:2" x14ac:dyDescent="0.25">
      <c r="A226" s="22">
        <v>75</v>
      </c>
      <c r="B226" s="23">
        <v>200</v>
      </c>
    </row>
    <row r="227" spans="1:2" x14ac:dyDescent="0.25">
      <c r="A227" s="22">
        <v>1500</v>
      </c>
      <c r="B227" s="23">
        <v>50</v>
      </c>
    </row>
    <row r="228" spans="1:2" x14ac:dyDescent="0.25">
      <c r="A228" s="22">
        <v>120</v>
      </c>
      <c r="B228" s="23">
        <v>1000</v>
      </c>
    </row>
    <row r="229" spans="1:2" x14ac:dyDescent="0.25">
      <c r="A229" s="22">
        <v>1200</v>
      </c>
      <c r="B229" s="23">
        <v>50</v>
      </c>
    </row>
    <row r="230" spans="1:2" x14ac:dyDescent="0.25">
      <c r="A230" s="22">
        <v>30</v>
      </c>
      <c r="B230" s="23">
        <v>900</v>
      </c>
    </row>
    <row r="231" spans="1:2" x14ac:dyDescent="0.25">
      <c r="A231" s="22">
        <v>1200</v>
      </c>
      <c r="B231" s="23">
        <v>30</v>
      </c>
    </row>
    <row r="232" spans="1:2" x14ac:dyDescent="0.25">
      <c r="A232" s="22">
        <v>25</v>
      </c>
      <c r="B232" s="23">
        <v>75</v>
      </c>
    </row>
    <row r="233" spans="1:2" x14ac:dyDescent="0.25">
      <c r="A233" s="22">
        <v>2000</v>
      </c>
      <c r="B233" s="23">
        <v>1200</v>
      </c>
    </row>
    <row r="234" spans="1:2" x14ac:dyDescent="0.25">
      <c r="A234" s="22">
        <v>900</v>
      </c>
      <c r="B234" s="23">
        <v>600</v>
      </c>
    </row>
    <row r="235" spans="1:2" x14ac:dyDescent="0.25">
      <c r="A235" s="22">
        <v>30</v>
      </c>
      <c r="B235" s="23">
        <v>500</v>
      </c>
    </row>
    <row r="236" spans="1:2" x14ac:dyDescent="0.25">
      <c r="A236" s="22">
        <v>150</v>
      </c>
      <c r="B236" s="23">
        <v>60</v>
      </c>
    </row>
    <row r="237" spans="1:2" x14ac:dyDescent="0.25">
      <c r="A237" s="22">
        <v>900</v>
      </c>
      <c r="B237" s="23">
        <v>50</v>
      </c>
    </row>
    <row r="238" spans="1:2" x14ac:dyDescent="0.25">
      <c r="A238" s="22">
        <v>200</v>
      </c>
      <c r="B238" s="23">
        <v>1000</v>
      </c>
    </row>
    <row r="239" spans="1:2" x14ac:dyDescent="0.25">
      <c r="A239" s="22">
        <v>60</v>
      </c>
      <c r="B239" s="23">
        <v>25</v>
      </c>
    </row>
    <row r="240" spans="1:2" x14ac:dyDescent="0.25">
      <c r="A240" s="22">
        <v>150</v>
      </c>
      <c r="B240" s="23">
        <v>60</v>
      </c>
    </row>
    <row r="241" spans="1:2" x14ac:dyDescent="0.25">
      <c r="A241" s="22">
        <v>2000</v>
      </c>
      <c r="B241" s="23">
        <v>900</v>
      </c>
    </row>
    <row r="242" spans="1:2" x14ac:dyDescent="0.25">
      <c r="A242" s="22">
        <v>200</v>
      </c>
      <c r="B242" s="23">
        <v>50</v>
      </c>
    </row>
    <row r="243" spans="1:2" x14ac:dyDescent="0.25">
      <c r="A243" s="22">
        <v>100</v>
      </c>
      <c r="B243" s="23">
        <v>1500</v>
      </c>
    </row>
    <row r="244" spans="1:2" x14ac:dyDescent="0.25">
      <c r="A244" s="22">
        <v>300</v>
      </c>
      <c r="B244" s="23">
        <v>100</v>
      </c>
    </row>
    <row r="245" spans="1:2" x14ac:dyDescent="0.25">
      <c r="A245" s="22">
        <v>900</v>
      </c>
      <c r="B245" s="23">
        <v>150</v>
      </c>
    </row>
    <row r="246" spans="1:2" x14ac:dyDescent="0.25">
      <c r="A246" s="22">
        <v>30</v>
      </c>
      <c r="B246" s="23">
        <v>1000</v>
      </c>
    </row>
    <row r="247" spans="1:2" x14ac:dyDescent="0.25">
      <c r="A247" s="22">
        <v>100</v>
      </c>
      <c r="B247" s="23">
        <v>150</v>
      </c>
    </row>
    <row r="248" spans="1:2" x14ac:dyDescent="0.25">
      <c r="A248" s="22">
        <v>1500</v>
      </c>
      <c r="B248" s="23">
        <v>900</v>
      </c>
    </row>
    <row r="249" spans="1:2" x14ac:dyDescent="0.25">
      <c r="A249" s="22">
        <v>1200</v>
      </c>
      <c r="B249" s="23">
        <v>50</v>
      </c>
    </row>
    <row r="250" spans="1:2" x14ac:dyDescent="0.25">
      <c r="A250" s="22">
        <v>60</v>
      </c>
      <c r="B250" s="23">
        <v>75</v>
      </c>
    </row>
    <row r="251" spans="1:2" x14ac:dyDescent="0.25">
      <c r="A251" s="22">
        <v>150</v>
      </c>
      <c r="B251" s="23">
        <v>2000</v>
      </c>
    </row>
    <row r="252" spans="1:2" x14ac:dyDescent="0.25">
      <c r="A252" s="22">
        <v>120</v>
      </c>
      <c r="B252" s="23">
        <v>180</v>
      </c>
    </row>
    <row r="253" spans="1:2" x14ac:dyDescent="0.25">
      <c r="A253" s="22">
        <v>120</v>
      </c>
      <c r="B253" s="23">
        <v>2000</v>
      </c>
    </row>
    <row r="254" spans="1:2" x14ac:dyDescent="0.25">
      <c r="A254" s="22">
        <v>1500</v>
      </c>
      <c r="B254" s="23">
        <v>1200</v>
      </c>
    </row>
    <row r="255" spans="1:2" x14ac:dyDescent="0.25">
      <c r="A255" s="22">
        <v>1000</v>
      </c>
      <c r="B255" s="23">
        <v>1200</v>
      </c>
    </row>
    <row r="256" spans="1:2" x14ac:dyDescent="0.25">
      <c r="A256" s="22">
        <v>120</v>
      </c>
      <c r="B256" s="23">
        <v>30</v>
      </c>
    </row>
    <row r="257" spans="1:2" x14ac:dyDescent="0.25">
      <c r="A257" s="22">
        <v>500</v>
      </c>
      <c r="B257" s="23">
        <v>100</v>
      </c>
    </row>
    <row r="258" spans="1:2" x14ac:dyDescent="0.25">
      <c r="A258" s="22">
        <v>3000</v>
      </c>
      <c r="B258" s="23">
        <v>50</v>
      </c>
    </row>
    <row r="259" spans="1:2" x14ac:dyDescent="0.25">
      <c r="A259" s="22">
        <v>900</v>
      </c>
      <c r="B259" s="23">
        <v>60</v>
      </c>
    </row>
    <row r="260" spans="1:2" x14ac:dyDescent="0.25">
      <c r="A260" s="22">
        <v>500</v>
      </c>
      <c r="B260" s="23">
        <v>600</v>
      </c>
    </row>
    <row r="261" spans="1:2" x14ac:dyDescent="0.25">
      <c r="A261" s="22">
        <v>600</v>
      </c>
      <c r="B261" s="23">
        <v>120</v>
      </c>
    </row>
    <row r="262" spans="1:2" x14ac:dyDescent="0.25">
      <c r="A262" s="22">
        <v>25</v>
      </c>
      <c r="B262" s="23">
        <v>100</v>
      </c>
    </row>
    <row r="263" spans="1:2" x14ac:dyDescent="0.25">
      <c r="A263" s="22">
        <v>200</v>
      </c>
      <c r="B263" s="23">
        <v>100</v>
      </c>
    </row>
    <row r="264" spans="1:2" x14ac:dyDescent="0.25">
      <c r="A264" s="22">
        <v>60</v>
      </c>
      <c r="B264" s="23">
        <v>60</v>
      </c>
    </row>
    <row r="265" spans="1:2" x14ac:dyDescent="0.25">
      <c r="A265" s="22">
        <v>150</v>
      </c>
      <c r="B265" s="23">
        <v>150</v>
      </c>
    </row>
    <row r="266" spans="1:2" x14ac:dyDescent="0.25">
      <c r="A266" s="22">
        <v>1200</v>
      </c>
      <c r="B266" s="23">
        <v>50</v>
      </c>
    </row>
    <row r="267" spans="1:2" x14ac:dyDescent="0.25">
      <c r="A267" s="22">
        <v>60</v>
      </c>
      <c r="B267" s="23">
        <v>2500</v>
      </c>
    </row>
    <row r="268" spans="1:2" x14ac:dyDescent="0.25">
      <c r="A268" s="22">
        <v>100</v>
      </c>
      <c r="B268" s="23">
        <v>1500</v>
      </c>
    </row>
    <row r="269" spans="1:2" x14ac:dyDescent="0.25">
      <c r="A269" s="22">
        <v>60</v>
      </c>
      <c r="B269" s="23">
        <v>600</v>
      </c>
    </row>
    <row r="270" spans="1:2" x14ac:dyDescent="0.25">
      <c r="A270" s="22">
        <v>30</v>
      </c>
      <c r="B270" s="23">
        <v>900</v>
      </c>
    </row>
    <row r="271" spans="1:2" x14ac:dyDescent="0.25">
      <c r="A271" s="22">
        <v>60</v>
      </c>
      <c r="B271" s="23">
        <v>100</v>
      </c>
    </row>
    <row r="272" spans="1:2" x14ac:dyDescent="0.25">
      <c r="A272" s="22">
        <v>100</v>
      </c>
      <c r="B272" s="23">
        <v>25</v>
      </c>
    </row>
    <row r="273" spans="1:2" x14ac:dyDescent="0.25">
      <c r="A273" s="22">
        <v>150</v>
      </c>
      <c r="B273" s="23">
        <v>100</v>
      </c>
    </row>
    <row r="274" spans="1:2" x14ac:dyDescent="0.25">
      <c r="A274" s="22">
        <v>120</v>
      </c>
      <c r="B274" s="23">
        <v>100</v>
      </c>
    </row>
    <row r="275" spans="1:2" x14ac:dyDescent="0.25">
      <c r="A275" s="22">
        <v>1500</v>
      </c>
      <c r="B275" s="23">
        <v>120</v>
      </c>
    </row>
    <row r="276" spans="1:2" x14ac:dyDescent="0.25">
      <c r="A276" s="22">
        <v>900</v>
      </c>
      <c r="B276" s="23">
        <v>120</v>
      </c>
    </row>
    <row r="277" spans="1:2" x14ac:dyDescent="0.25">
      <c r="A277" s="22">
        <v>60</v>
      </c>
      <c r="B277" s="23">
        <v>300</v>
      </c>
    </row>
    <row r="278" spans="1:2" x14ac:dyDescent="0.25">
      <c r="A278" s="22">
        <v>1000</v>
      </c>
      <c r="B278" s="23">
        <v>50</v>
      </c>
    </row>
    <row r="279" spans="1:2" x14ac:dyDescent="0.25">
      <c r="A279" s="22">
        <v>900</v>
      </c>
      <c r="B279" s="23">
        <v>100</v>
      </c>
    </row>
    <row r="280" spans="1:2" x14ac:dyDescent="0.25">
      <c r="A280" s="22">
        <v>2000</v>
      </c>
      <c r="B280" s="23">
        <v>50</v>
      </c>
    </row>
    <row r="281" spans="1:2" x14ac:dyDescent="0.25">
      <c r="A281" s="22">
        <v>2000</v>
      </c>
      <c r="B281" s="23">
        <v>500</v>
      </c>
    </row>
    <row r="282" spans="1:2" x14ac:dyDescent="0.25">
      <c r="A282" s="22">
        <v>300</v>
      </c>
      <c r="B282" s="23">
        <v>90</v>
      </c>
    </row>
    <row r="283" spans="1:2" x14ac:dyDescent="0.25">
      <c r="A283" s="22">
        <v>120</v>
      </c>
      <c r="B283" s="23">
        <v>150</v>
      </c>
    </row>
    <row r="284" spans="1:2" x14ac:dyDescent="0.25">
      <c r="A284" s="22">
        <v>200</v>
      </c>
      <c r="B284" s="23">
        <v>50</v>
      </c>
    </row>
    <row r="285" spans="1:2" x14ac:dyDescent="0.25">
      <c r="A285" s="22">
        <v>1000</v>
      </c>
      <c r="B285" s="23">
        <v>50</v>
      </c>
    </row>
    <row r="286" spans="1:2" x14ac:dyDescent="0.25">
      <c r="A286" s="22">
        <v>1500</v>
      </c>
      <c r="B286" s="23">
        <v>2000</v>
      </c>
    </row>
    <row r="287" spans="1:2" x14ac:dyDescent="0.25">
      <c r="A287" s="22">
        <v>100</v>
      </c>
      <c r="B287" s="23">
        <v>100</v>
      </c>
    </row>
    <row r="288" spans="1:2" x14ac:dyDescent="0.25">
      <c r="A288" s="22">
        <v>1500</v>
      </c>
      <c r="B288" s="23">
        <v>900</v>
      </c>
    </row>
    <row r="289" spans="1:2" x14ac:dyDescent="0.25">
      <c r="A289" s="22">
        <v>90</v>
      </c>
      <c r="B289" s="23">
        <v>900</v>
      </c>
    </row>
    <row r="290" spans="1:2" x14ac:dyDescent="0.25">
      <c r="A290" s="22">
        <v>100</v>
      </c>
      <c r="B290" s="23">
        <v>75</v>
      </c>
    </row>
    <row r="291" spans="1:2" x14ac:dyDescent="0.25">
      <c r="A291" s="22">
        <v>30</v>
      </c>
      <c r="B291" s="23">
        <v>1200</v>
      </c>
    </row>
    <row r="292" spans="1:2" x14ac:dyDescent="0.25">
      <c r="A292" s="22">
        <v>200</v>
      </c>
      <c r="B292" s="23">
        <v>300</v>
      </c>
    </row>
    <row r="293" spans="1:2" x14ac:dyDescent="0.25">
      <c r="A293" s="22">
        <v>75</v>
      </c>
      <c r="B293" s="23">
        <v>100</v>
      </c>
    </row>
    <row r="294" spans="1:2" x14ac:dyDescent="0.25">
      <c r="A294" s="22">
        <v>75</v>
      </c>
      <c r="B294" s="23">
        <v>90</v>
      </c>
    </row>
    <row r="295" spans="1:2" x14ac:dyDescent="0.25">
      <c r="A295" s="22">
        <v>900</v>
      </c>
      <c r="B295" s="23">
        <v>25</v>
      </c>
    </row>
    <row r="296" spans="1:2" x14ac:dyDescent="0.25">
      <c r="A296" s="22">
        <v>2000</v>
      </c>
      <c r="B296" s="23">
        <v>50</v>
      </c>
    </row>
    <row r="297" spans="1:2" x14ac:dyDescent="0.25">
      <c r="A297" s="22">
        <v>200</v>
      </c>
      <c r="B297" s="23">
        <v>2000</v>
      </c>
    </row>
    <row r="298" spans="1:2" x14ac:dyDescent="0.25">
      <c r="A298" s="22">
        <v>100</v>
      </c>
      <c r="B298" s="23">
        <v>50</v>
      </c>
    </row>
    <row r="299" spans="1:2" x14ac:dyDescent="0.25">
      <c r="A299" s="22">
        <v>2000</v>
      </c>
      <c r="B299" s="23">
        <v>900</v>
      </c>
    </row>
    <row r="300" spans="1:2" x14ac:dyDescent="0.25">
      <c r="A300" s="22">
        <v>1500</v>
      </c>
      <c r="B300" s="23">
        <v>300</v>
      </c>
    </row>
    <row r="301" spans="1:2" x14ac:dyDescent="0.25">
      <c r="A301" s="22">
        <v>500</v>
      </c>
      <c r="B301" s="23">
        <v>200</v>
      </c>
    </row>
    <row r="302" spans="1:2" x14ac:dyDescent="0.25">
      <c r="A302" s="22">
        <v>200</v>
      </c>
      <c r="B302" s="23">
        <v>500</v>
      </c>
    </row>
    <row r="303" spans="1:2" x14ac:dyDescent="0.25">
      <c r="A303" s="22">
        <v>300</v>
      </c>
      <c r="B303" s="23">
        <v>50</v>
      </c>
    </row>
    <row r="304" spans="1:2" x14ac:dyDescent="0.25">
      <c r="A304" s="22">
        <v>100</v>
      </c>
      <c r="B304" s="23">
        <v>2000</v>
      </c>
    </row>
    <row r="305" spans="1:2" x14ac:dyDescent="0.25">
      <c r="A305" s="22">
        <v>75</v>
      </c>
      <c r="B305" s="23">
        <v>50</v>
      </c>
    </row>
    <row r="306" spans="1:2" x14ac:dyDescent="0.25">
      <c r="A306" s="22">
        <v>120</v>
      </c>
      <c r="B306" s="23">
        <v>2000</v>
      </c>
    </row>
    <row r="307" spans="1:2" x14ac:dyDescent="0.25">
      <c r="A307" s="22">
        <v>90</v>
      </c>
      <c r="B307" s="23">
        <v>30</v>
      </c>
    </row>
    <row r="308" spans="1:2" x14ac:dyDescent="0.25">
      <c r="A308" s="22">
        <v>1200</v>
      </c>
      <c r="B308" s="23">
        <v>60</v>
      </c>
    </row>
    <row r="309" spans="1:2" x14ac:dyDescent="0.25">
      <c r="A309" s="22">
        <v>30</v>
      </c>
      <c r="B309" s="23">
        <v>100</v>
      </c>
    </row>
    <row r="310" spans="1:2" x14ac:dyDescent="0.25">
      <c r="A310" s="22">
        <v>150</v>
      </c>
      <c r="B310" s="23">
        <v>200</v>
      </c>
    </row>
    <row r="311" spans="1:2" x14ac:dyDescent="0.25">
      <c r="A311" s="22">
        <v>100</v>
      </c>
      <c r="B311" s="23">
        <v>25</v>
      </c>
    </row>
    <row r="312" spans="1:2" x14ac:dyDescent="0.25">
      <c r="A312" s="22">
        <v>75</v>
      </c>
      <c r="B312" s="23">
        <v>50</v>
      </c>
    </row>
    <row r="313" spans="1:2" x14ac:dyDescent="0.25">
      <c r="A313" s="22">
        <v>500</v>
      </c>
      <c r="B313" s="23">
        <v>1200</v>
      </c>
    </row>
    <row r="314" spans="1:2" x14ac:dyDescent="0.25">
      <c r="A314" s="22">
        <v>25</v>
      </c>
      <c r="B314" s="23">
        <v>100</v>
      </c>
    </row>
    <row r="315" spans="1:2" x14ac:dyDescent="0.25">
      <c r="A315" s="22">
        <v>1000</v>
      </c>
      <c r="B315" s="23">
        <v>60</v>
      </c>
    </row>
    <row r="316" spans="1:2" x14ac:dyDescent="0.25">
      <c r="A316" s="22">
        <v>1000</v>
      </c>
      <c r="B316" s="23">
        <v>600</v>
      </c>
    </row>
    <row r="317" spans="1:2" x14ac:dyDescent="0.25">
      <c r="A317" s="22">
        <v>50</v>
      </c>
      <c r="B317" s="23">
        <v>1200</v>
      </c>
    </row>
    <row r="318" spans="1:2" x14ac:dyDescent="0.25">
      <c r="A318" s="22">
        <v>150</v>
      </c>
      <c r="B318" s="23">
        <v>100</v>
      </c>
    </row>
    <row r="319" spans="1:2" x14ac:dyDescent="0.25">
      <c r="A319" s="22">
        <v>1500</v>
      </c>
      <c r="B319" s="23">
        <v>1000</v>
      </c>
    </row>
    <row r="320" spans="1:2" x14ac:dyDescent="0.25">
      <c r="A320" s="22">
        <v>60</v>
      </c>
      <c r="B320" s="23">
        <v>30</v>
      </c>
    </row>
    <row r="321" spans="1:2" x14ac:dyDescent="0.25">
      <c r="A321" s="22">
        <v>1500</v>
      </c>
      <c r="B321" s="23">
        <v>300</v>
      </c>
    </row>
    <row r="322" spans="1:2" x14ac:dyDescent="0.25">
      <c r="A322" s="22">
        <v>900</v>
      </c>
      <c r="B322" s="23">
        <v>90</v>
      </c>
    </row>
    <row r="323" spans="1:2" x14ac:dyDescent="0.25">
      <c r="A323" s="22">
        <v>1000</v>
      </c>
      <c r="B323" s="23">
        <v>50</v>
      </c>
    </row>
    <row r="324" spans="1:2" x14ac:dyDescent="0.25">
      <c r="A324" s="22">
        <v>1000</v>
      </c>
      <c r="B324" s="23">
        <v>75</v>
      </c>
    </row>
    <row r="325" spans="1:2" x14ac:dyDescent="0.25">
      <c r="A325" s="22">
        <v>50</v>
      </c>
      <c r="B325" s="23">
        <v>600</v>
      </c>
    </row>
    <row r="326" spans="1:2" x14ac:dyDescent="0.25">
      <c r="A326" s="22">
        <v>300</v>
      </c>
      <c r="B326" s="23">
        <v>500</v>
      </c>
    </row>
    <row r="327" spans="1:2" x14ac:dyDescent="0.25">
      <c r="A327" s="22">
        <v>100</v>
      </c>
      <c r="B327" s="23">
        <v>1200</v>
      </c>
    </row>
    <row r="328" spans="1:2" x14ac:dyDescent="0.25">
      <c r="A328" s="22">
        <v>90</v>
      </c>
      <c r="B328" s="23">
        <v>100</v>
      </c>
    </row>
    <row r="329" spans="1:2" x14ac:dyDescent="0.25">
      <c r="A329" s="22">
        <v>1500</v>
      </c>
      <c r="B329" s="23">
        <v>100</v>
      </c>
    </row>
    <row r="330" spans="1:2" x14ac:dyDescent="0.25">
      <c r="A330" s="22">
        <v>200</v>
      </c>
      <c r="B330" s="23">
        <v>1000</v>
      </c>
    </row>
    <row r="331" spans="1:2" x14ac:dyDescent="0.25">
      <c r="A331" s="22">
        <v>120</v>
      </c>
      <c r="B331" s="23">
        <v>150</v>
      </c>
    </row>
    <row r="332" spans="1:2" x14ac:dyDescent="0.25">
      <c r="A332" s="22">
        <v>60</v>
      </c>
      <c r="B332" s="23">
        <v>300</v>
      </c>
    </row>
    <row r="333" spans="1:2" x14ac:dyDescent="0.25">
      <c r="A333" s="22">
        <v>600</v>
      </c>
      <c r="B333" s="23">
        <v>50</v>
      </c>
    </row>
    <row r="334" spans="1:2" x14ac:dyDescent="0.25">
      <c r="A334" s="22">
        <v>90</v>
      </c>
      <c r="B334" s="23">
        <v>50</v>
      </c>
    </row>
    <row r="335" spans="1:2" x14ac:dyDescent="0.25">
      <c r="A335" s="22">
        <v>100</v>
      </c>
      <c r="B335" s="23">
        <v>100</v>
      </c>
    </row>
    <row r="336" spans="1:2" x14ac:dyDescent="0.25">
      <c r="A336" s="22">
        <v>500</v>
      </c>
      <c r="B336" s="23">
        <v>90</v>
      </c>
    </row>
    <row r="337" spans="1:2" x14ac:dyDescent="0.25">
      <c r="A337" s="22">
        <v>900</v>
      </c>
      <c r="B337" s="23">
        <v>120</v>
      </c>
    </row>
    <row r="338" spans="1:2" x14ac:dyDescent="0.25">
      <c r="A338" s="22">
        <v>1500</v>
      </c>
      <c r="B338" s="23">
        <v>900</v>
      </c>
    </row>
    <row r="339" spans="1:2" x14ac:dyDescent="0.25">
      <c r="A339" s="22">
        <v>1500</v>
      </c>
      <c r="B339" s="23">
        <v>600</v>
      </c>
    </row>
    <row r="340" spans="1:2" x14ac:dyDescent="0.25">
      <c r="A340" s="22">
        <v>75</v>
      </c>
      <c r="B340" s="23">
        <v>120</v>
      </c>
    </row>
    <row r="341" spans="1:2" x14ac:dyDescent="0.25">
      <c r="A341" s="22">
        <v>500</v>
      </c>
      <c r="B341" s="23">
        <v>90</v>
      </c>
    </row>
    <row r="342" spans="1:2" x14ac:dyDescent="0.25">
      <c r="A342" s="22">
        <v>75</v>
      </c>
      <c r="B342" s="23">
        <v>1500</v>
      </c>
    </row>
    <row r="343" spans="1:2" x14ac:dyDescent="0.25">
      <c r="A343" s="22">
        <v>60</v>
      </c>
      <c r="B343" s="23">
        <v>600</v>
      </c>
    </row>
    <row r="344" spans="1:2" x14ac:dyDescent="0.25">
      <c r="A344" s="22">
        <v>1500</v>
      </c>
      <c r="B344" s="23">
        <v>75</v>
      </c>
    </row>
    <row r="345" spans="1:2" x14ac:dyDescent="0.25">
      <c r="A345" s="22">
        <v>900</v>
      </c>
      <c r="B345" s="23">
        <v>90</v>
      </c>
    </row>
    <row r="346" spans="1:2" x14ac:dyDescent="0.25">
      <c r="A346" s="22">
        <v>200</v>
      </c>
      <c r="B346" s="23">
        <v>75</v>
      </c>
    </row>
    <row r="347" spans="1:2" x14ac:dyDescent="0.25">
      <c r="A347" s="22">
        <v>150</v>
      </c>
      <c r="B347" s="23">
        <v>30</v>
      </c>
    </row>
    <row r="348" spans="1:2" x14ac:dyDescent="0.25">
      <c r="A348" s="22">
        <v>300</v>
      </c>
      <c r="B348" s="23">
        <v>100</v>
      </c>
    </row>
    <row r="349" spans="1:2" x14ac:dyDescent="0.25">
      <c r="A349" s="22">
        <v>150</v>
      </c>
      <c r="B349" s="23">
        <v>1200</v>
      </c>
    </row>
    <row r="350" spans="1:2" x14ac:dyDescent="0.25">
      <c r="A350" s="22">
        <v>50</v>
      </c>
      <c r="B350" s="23">
        <v>2000</v>
      </c>
    </row>
    <row r="351" spans="1:2" x14ac:dyDescent="0.25">
      <c r="A351" s="22">
        <v>2000</v>
      </c>
      <c r="B351" s="23">
        <v>150</v>
      </c>
    </row>
    <row r="352" spans="1:2" x14ac:dyDescent="0.25">
      <c r="A352" s="22">
        <v>1000</v>
      </c>
      <c r="B352" s="23">
        <v>500</v>
      </c>
    </row>
    <row r="353" spans="1:2" x14ac:dyDescent="0.25">
      <c r="A353" s="22">
        <v>30</v>
      </c>
      <c r="B353" s="23">
        <v>150</v>
      </c>
    </row>
    <row r="354" spans="1:2" x14ac:dyDescent="0.25">
      <c r="A354" s="22">
        <v>100</v>
      </c>
      <c r="B354" s="23">
        <v>1200</v>
      </c>
    </row>
    <row r="355" spans="1:2" x14ac:dyDescent="0.25">
      <c r="A355" s="22">
        <v>50</v>
      </c>
      <c r="B355" s="23">
        <v>30</v>
      </c>
    </row>
    <row r="356" spans="1:2" x14ac:dyDescent="0.25">
      <c r="A356" s="22">
        <v>25</v>
      </c>
      <c r="B356" s="23">
        <v>100</v>
      </c>
    </row>
    <row r="357" spans="1:2" x14ac:dyDescent="0.25">
      <c r="A357" s="22">
        <v>300</v>
      </c>
      <c r="B357" s="23">
        <v>300</v>
      </c>
    </row>
    <row r="358" spans="1:2" x14ac:dyDescent="0.25">
      <c r="A358" s="22">
        <v>2000</v>
      </c>
      <c r="B358" s="23">
        <v>1500</v>
      </c>
    </row>
    <row r="359" spans="1:2" x14ac:dyDescent="0.25">
      <c r="A359" s="22">
        <v>100</v>
      </c>
      <c r="B359" s="23">
        <v>900</v>
      </c>
    </row>
    <row r="360" spans="1:2" x14ac:dyDescent="0.25">
      <c r="A360" s="22">
        <v>150</v>
      </c>
      <c r="B360" s="23">
        <v>90</v>
      </c>
    </row>
    <row r="361" spans="1:2" x14ac:dyDescent="0.25">
      <c r="A361" s="22">
        <v>30</v>
      </c>
      <c r="B361" s="23">
        <v>60</v>
      </c>
    </row>
    <row r="362" spans="1:2" x14ac:dyDescent="0.25">
      <c r="A362" s="22">
        <v>50</v>
      </c>
      <c r="B362" s="23">
        <v>1200</v>
      </c>
    </row>
    <row r="363" spans="1:2" x14ac:dyDescent="0.25">
      <c r="A363" s="22">
        <v>30</v>
      </c>
      <c r="B363" s="23">
        <v>200</v>
      </c>
    </row>
    <row r="364" spans="1:2" x14ac:dyDescent="0.25">
      <c r="A364" s="22">
        <v>500</v>
      </c>
      <c r="B364" s="23">
        <v>100</v>
      </c>
    </row>
    <row r="365" spans="1:2" x14ac:dyDescent="0.25">
      <c r="A365" s="22">
        <v>500</v>
      </c>
      <c r="B365" s="23">
        <v>900</v>
      </c>
    </row>
    <row r="366" spans="1:2" x14ac:dyDescent="0.25">
      <c r="A366" s="22">
        <v>50</v>
      </c>
      <c r="B366" s="23">
        <v>100</v>
      </c>
    </row>
    <row r="367" spans="1:2" x14ac:dyDescent="0.25">
      <c r="A367" s="22">
        <v>75</v>
      </c>
      <c r="B367" s="23">
        <v>50</v>
      </c>
    </row>
    <row r="368" spans="1:2" x14ac:dyDescent="0.25">
      <c r="A368" s="22">
        <v>75</v>
      </c>
      <c r="B368" s="23">
        <v>150</v>
      </c>
    </row>
    <row r="369" spans="1:2" x14ac:dyDescent="0.25">
      <c r="A369" s="22">
        <v>50</v>
      </c>
      <c r="B369" s="23">
        <v>500</v>
      </c>
    </row>
    <row r="370" spans="1:2" x14ac:dyDescent="0.25">
      <c r="A370" s="22">
        <v>50</v>
      </c>
      <c r="B370" s="23">
        <v>300</v>
      </c>
    </row>
    <row r="371" spans="1:2" x14ac:dyDescent="0.25">
      <c r="A371" s="22">
        <v>2000</v>
      </c>
      <c r="B371" s="23">
        <v>2000</v>
      </c>
    </row>
    <row r="372" spans="1:2" x14ac:dyDescent="0.25">
      <c r="A372" s="22">
        <v>100</v>
      </c>
      <c r="B372" s="23">
        <v>100</v>
      </c>
    </row>
    <row r="373" spans="1:2" x14ac:dyDescent="0.25">
      <c r="A373" s="22">
        <v>50</v>
      </c>
      <c r="B373" s="23">
        <v>50</v>
      </c>
    </row>
    <row r="374" spans="1:2" x14ac:dyDescent="0.25">
      <c r="A374" s="22">
        <v>500</v>
      </c>
      <c r="B374" s="23">
        <v>1000</v>
      </c>
    </row>
    <row r="375" spans="1:2" x14ac:dyDescent="0.25">
      <c r="A375" s="22">
        <v>100</v>
      </c>
      <c r="B375" s="23">
        <v>50</v>
      </c>
    </row>
    <row r="376" spans="1:2" x14ac:dyDescent="0.25">
      <c r="A376" s="22">
        <v>900</v>
      </c>
      <c r="B376" s="23">
        <v>500</v>
      </c>
    </row>
    <row r="377" spans="1:2" x14ac:dyDescent="0.25">
      <c r="A377" s="22">
        <v>2000</v>
      </c>
      <c r="B377" s="23">
        <v>100</v>
      </c>
    </row>
    <row r="378" spans="1:2" x14ac:dyDescent="0.25">
      <c r="A378" s="22">
        <v>25</v>
      </c>
      <c r="B378" s="23">
        <v>1200</v>
      </c>
    </row>
    <row r="379" spans="1:2" x14ac:dyDescent="0.25">
      <c r="A379" s="22">
        <v>300</v>
      </c>
      <c r="B379" s="23">
        <v>500</v>
      </c>
    </row>
    <row r="380" spans="1:2" x14ac:dyDescent="0.25">
      <c r="A380" s="22">
        <v>120</v>
      </c>
      <c r="B380" s="23">
        <v>1200</v>
      </c>
    </row>
    <row r="381" spans="1:2" x14ac:dyDescent="0.25">
      <c r="A381" s="22">
        <v>100</v>
      </c>
      <c r="B381" s="23">
        <v>900</v>
      </c>
    </row>
    <row r="382" spans="1:2" x14ac:dyDescent="0.25">
      <c r="A382" s="22">
        <v>100</v>
      </c>
      <c r="B382" s="23">
        <v>1200</v>
      </c>
    </row>
    <row r="383" spans="1:2" x14ac:dyDescent="0.25">
      <c r="A383" s="22">
        <v>30</v>
      </c>
      <c r="B383" s="23">
        <v>30</v>
      </c>
    </row>
    <row r="384" spans="1:2" x14ac:dyDescent="0.25">
      <c r="A384" s="22">
        <v>1500</v>
      </c>
      <c r="B384" s="23">
        <v>2000</v>
      </c>
    </row>
    <row r="385" spans="1:2" x14ac:dyDescent="0.25">
      <c r="A385" s="22">
        <v>100</v>
      </c>
      <c r="B385" s="23">
        <v>100</v>
      </c>
    </row>
    <row r="386" spans="1:2" x14ac:dyDescent="0.25">
      <c r="A386" s="22">
        <v>150</v>
      </c>
      <c r="B386" s="23">
        <v>200</v>
      </c>
    </row>
    <row r="387" spans="1:2" x14ac:dyDescent="0.25">
      <c r="A387" s="22">
        <v>75</v>
      </c>
      <c r="B387" s="23">
        <v>2000</v>
      </c>
    </row>
    <row r="388" spans="1:2" x14ac:dyDescent="0.25">
      <c r="A388" s="22">
        <v>500</v>
      </c>
      <c r="B388" s="23">
        <v>25</v>
      </c>
    </row>
    <row r="389" spans="1:2" x14ac:dyDescent="0.25">
      <c r="A389" s="22">
        <v>100</v>
      </c>
      <c r="B389" s="23">
        <v>90</v>
      </c>
    </row>
    <row r="390" spans="1:2" x14ac:dyDescent="0.25">
      <c r="A390" s="22">
        <v>200</v>
      </c>
      <c r="B390" s="23">
        <v>30</v>
      </c>
    </row>
    <row r="391" spans="1:2" x14ac:dyDescent="0.25">
      <c r="A391" s="22">
        <v>300</v>
      </c>
      <c r="B391" s="23">
        <v>75</v>
      </c>
    </row>
    <row r="392" spans="1:2" x14ac:dyDescent="0.25">
      <c r="A392" s="22">
        <v>100</v>
      </c>
      <c r="B392" s="23">
        <v>100</v>
      </c>
    </row>
    <row r="393" spans="1:2" x14ac:dyDescent="0.25">
      <c r="A393" s="22">
        <v>120</v>
      </c>
      <c r="B393" s="23">
        <v>100</v>
      </c>
    </row>
    <row r="394" spans="1:2" x14ac:dyDescent="0.25">
      <c r="A394" s="22">
        <v>25</v>
      </c>
      <c r="B394" s="23">
        <v>75</v>
      </c>
    </row>
    <row r="395" spans="1:2" x14ac:dyDescent="0.25">
      <c r="A395" s="22">
        <v>90</v>
      </c>
      <c r="B395" s="23">
        <v>1200</v>
      </c>
    </row>
    <row r="396" spans="1:2" x14ac:dyDescent="0.25">
      <c r="A396" s="22">
        <v>100</v>
      </c>
      <c r="B396" s="23">
        <v>1200</v>
      </c>
    </row>
    <row r="397" spans="1:2" x14ac:dyDescent="0.25">
      <c r="A397" s="22">
        <v>2000</v>
      </c>
      <c r="B397" s="23">
        <v>100</v>
      </c>
    </row>
    <row r="398" spans="1:2" x14ac:dyDescent="0.25">
      <c r="A398" s="22">
        <v>200</v>
      </c>
      <c r="B398" s="23">
        <v>100</v>
      </c>
    </row>
    <row r="399" spans="1:2" x14ac:dyDescent="0.25">
      <c r="A399" s="22">
        <v>60</v>
      </c>
      <c r="B399" s="23">
        <v>50</v>
      </c>
    </row>
    <row r="400" spans="1:2" x14ac:dyDescent="0.25">
      <c r="A400" s="22">
        <v>50</v>
      </c>
      <c r="B400" s="23">
        <v>25</v>
      </c>
    </row>
    <row r="401" spans="1:2" x14ac:dyDescent="0.25">
      <c r="A401" s="22">
        <v>100</v>
      </c>
      <c r="B401" s="23">
        <v>200</v>
      </c>
    </row>
    <row r="402" spans="1:2" x14ac:dyDescent="0.25">
      <c r="A402" s="22">
        <v>600</v>
      </c>
      <c r="B402" s="23">
        <v>900</v>
      </c>
    </row>
    <row r="403" spans="1:2" x14ac:dyDescent="0.25">
      <c r="A403" s="22">
        <v>1500</v>
      </c>
      <c r="B403" s="23">
        <v>120</v>
      </c>
    </row>
    <row r="404" spans="1:2" x14ac:dyDescent="0.25">
      <c r="A404" s="22">
        <v>500</v>
      </c>
      <c r="B404" s="23">
        <v>30</v>
      </c>
    </row>
    <row r="405" spans="1:2" x14ac:dyDescent="0.25">
      <c r="A405" s="22">
        <v>50</v>
      </c>
      <c r="B405" s="23">
        <v>50</v>
      </c>
    </row>
    <row r="406" spans="1:2" x14ac:dyDescent="0.25">
      <c r="A406" s="22">
        <v>50</v>
      </c>
      <c r="B406" s="23">
        <v>90</v>
      </c>
    </row>
    <row r="407" spans="1:2" x14ac:dyDescent="0.25">
      <c r="A407" s="22">
        <v>1000</v>
      </c>
      <c r="B407" s="23">
        <v>150</v>
      </c>
    </row>
    <row r="408" spans="1:2" x14ac:dyDescent="0.25">
      <c r="A408" s="22">
        <v>50</v>
      </c>
      <c r="B408" s="23">
        <v>100</v>
      </c>
    </row>
    <row r="409" spans="1:2" x14ac:dyDescent="0.25">
      <c r="A409" s="22">
        <v>300</v>
      </c>
      <c r="B409" s="23">
        <v>2500</v>
      </c>
    </row>
    <row r="410" spans="1:2" x14ac:dyDescent="0.25">
      <c r="A410" s="22">
        <v>50</v>
      </c>
      <c r="B410" s="23">
        <v>500</v>
      </c>
    </row>
    <row r="411" spans="1:2" x14ac:dyDescent="0.25">
      <c r="A411" s="22">
        <v>25</v>
      </c>
      <c r="B411" s="23">
        <v>900</v>
      </c>
    </row>
    <row r="412" spans="1:2" x14ac:dyDescent="0.25">
      <c r="A412" s="22">
        <v>50</v>
      </c>
      <c r="B412" s="23">
        <v>300</v>
      </c>
    </row>
    <row r="413" spans="1:2" x14ac:dyDescent="0.25">
      <c r="A413" s="22">
        <v>100</v>
      </c>
      <c r="B413" s="23">
        <v>200</v>
      </c>
    </row>
    <row r="414" spans="1:2" x14ac:dyDescent="0.25">
      <c r="A414" s="22">
        <v>50</v>
      </c>
      <c r="B414" s="23">
        <v>25</v>
      </c>
    </row>
    <row r="415" spans="1:2" x14ac:dyDescent="0.25">
      <c r="A415" s="22">
        <v>500</v>
      </c>
      <c r="B415" s="23">
        <v>25</v>
      </c>
    </row>
    <row r="416" spans="1:2" x14ac:dyDescent="0.25">
      <c r="A416" s="22">
        <v>50</v>
      </c>
      <c r="B416" s="23">
        <v>50</v>
      </c>
    </row>
    <row r="417" spans="1:2" x14ac:dyDescent="0.25">
      <c r="A417" s="22">
        <v>500</v>
      </c>
      <c r="B417" s="23">
        <v>30</v>
      </c>
    </row>
    <row r="418" spans="1:2" x14ac:dyDescent="0.25">
      <c r="A418" s="22">
        <v>120</v>
      </c>
      <c r="B418" s="23">
        <v>1800</v>
      </c>
    </row>
    <row r="419" spans="1:2" x14ac:dyDescent="0.25">
      <c r="A419" s="22">
        <v>75</v>
      </c>
      <c r="B419" s="23">
        <v>75</v>
      </c>
    </row>
    <row r="420" spans="1:2" x14ac:dyDescent="0.25">
      <c r="A420" s="22">
        <v>30</v>
      </c>
      <c r="B420" s="23">
        <v>50</v>
      </c>
    </row>
    <row r="421" spans="1:2" x14ac:dyDescent="0.25">
      <c r="A421" s="22">
        <v>2000</v>
      </c>
      <c r="B421" s="23">
        <v>1200</v>
      </c>
    </row>
    <row r="422" spans="1:2" x14ac:dyDescent="0.25">
      <c r="A422" s="22">
        <v>120</v>
      </c>
      <c r="B422" s="23">
        <v>200</v>
      </c>
    </row>
    <row r="423" spans="1:2" x14ac:dyDescent="0.25">
      <c r="A423" s="22">
        <v>25</v>
      </c>
      <c r="B423" s="23">
        <v>30</v>
      </c>
    </row>
    <row r="424" spans="1:2" x14ac:dyDescent="0.25">
      <c r="A424" s="22">
        <v>50</v>
      </c>
      <c r="B424" s="23">
        <v>900</v>
      </c>
    </row>
    <row r="425" spans="1:2" x14ac:dyDescent="0.25">
      <c r="A425" s="22">
        <v>900</v>
      </c>
      <c r="B425" s="23">
        <v>200</v>
      </c>
    </row>
    <row r="426" spans="1:2" x14ac:dyDescent="0.25">
      <c r="A426" s="22">
        <v>100</v>
      </c>
      <c r="B426" s="23">
        <v>2000</v>
      </c>
    </row>
    <row r="427" spans="1:2" x14ac:dyDescent="0.25">
      <c r="A427" s="22">
        <v>50</v>
      </c>
      <c r="B427" s="23">
        <v>100</v>
      </c>
    </row>
    <row r="428" spans="1:2" x14ac:dyDescent="0.25">
      <c r="A428" s="22">
        <v>900</v>
      </c>
      <c r="B428" s="23">
        <v>50</v>
      </c>
    </row>
    <row r="429" spans="1:2" x14ac:dyDescent="0.25">
      <c r="A429" s="22">
        <v>50</v>
      </c>
      <c r="B429" s="23">
        <v>75</v>
      </c>
    </row>
    <row r="430" spans="1:2" x14ac:dyDescent="0.25">
      <c r="A430" s="22">
        <v>120</v>
      </c>
      <c r="B430" s="23">
        <v>500</v>
      </c>
    </row>
    <row r="431" spans="1:2" x14ac:dyDescent="0.25">
      <c r="A431" s="22">
        <v>100</v>
      </c>
      <c r="B431" s="23">
        <v>1000</v>
      </c>
    </row>
    <row r="432" spans="1:2" x14ac:dyDescent="0.25">
      <c r="A432" s="22">
        <v>90</v>
      </c>
      <c r="B432" s="23">
        <v>200</v>
      </c>
    </row>
    <row r="433" spans="1:2" x14ac:dyDescent="0.25">
      <c r="A433" s="22">
        <v>300</v>
      </c>
      <c r="B433" s="23">
        <v>150</v>
      </c>
    </row>
    <row r="434" spans="1:2" x14ac:dyDescent="0.25">
      <c r="A434" s="22">
        <v>150</v>
      </c>
      <c r="B434" s="23">
        <v>300</v>
      </c>
    </row>
    <row r="435" spans="1:2" x14ac:dyDescent="0.25">
      <c r="A435" s="22">
        <v>90</v>
      </c>
      <c r="B435" s="23">
        <v>900</v>
      </c>
    </row>
    <row r="436" spans="1:2" x14ac:dyDescent="0.25">
      <c r="A436" s="22">
        <v>90</v>
      </c>
      <c r="B436" s="23">
        <v>1200</v>
      </c>
    </row>
    <row r="437" spans="1:2" x14ac:dyDescent="0.25">
      <c r="A437" s="22">
        <v>50</v>
      </c>
      <c r="B437" s="23">
        <v>150</v>
      </c>
    </row>
    <row r="438" spans="1:2" x14ac:dyDescent="0.25">
      <c r="A438" s="22">
        <v>200</v>
      </c>
      <c r="B438" s="23">
        <v>200</v>
      </c>
    </row>
    <row r="439" spans="1:2" x14ac:dyDescent="0.25">
      <c r="A439" s="22">
        <v>90</v>
      </c>
      <c r="B439" s="23">
        <v>50</v>
      </c>
    </row>
    <row r="440" spans="1:2" x14ac:dyDescent="0.25">
      <c r="A440" s="22">
        <v>50</v>
      </c>
      <c r="B440" s="23">
        <v>90</v>
      </c>
    </row>
    <row r="441" spans="1:2" x14ac:dyDescent="0.25">
      <c r="A441" s="22">
        <v>75</v>
      </c>
      <c r="B441" s="23">
        <v>600</v>
      </c>
    </row>
    <row r="442" spans="1:2" x14ac:dyDescent="0.25">
      <c r="A442" s="22">
        <v>50</v>
      </c>
      <c r="B442" s="23">
        <v>1200</v>
      </c>
    </row>
    <row r="443" spans="1:2" x14ac:dyDescent="0.25">
      <c r="A443" s="22">
        <v>100</v>
      </c>
      <c r="B443" s="23">
        <v>150</v>
      </c>
    </row>
    <row r="444" spans="1:2" x14ac:dyDescent="0.25">
      <c r="A444" s="22">
        <v>30</v>
      </c>
      <c r="B444" s="23">
        <v>1200</v>
      </c>
    </row>
    <row r="445" spans="1:2" x14ac:dyDescent="0.25">
      <c r="A445" s="22">
        <v>2000</v>
      </c>
      <c r="B445" s="23">
        <v>75</v>
      </c>
    </row>
    <row r="446" spans="1:2" x14ac:dyDescent="0.25">
      <c r="A446" s="22">
        <v>1200</v>
      </c>
      <c r="B446" s="23">
        <v>1000</v>
      </c>
    </row>
    <row r="447" spans="1:2" x14ac:dyDescent="0.25">
      <c r="A447" s="22">
        <v>200</v>
      </c>
      <c r="B447" s="23">
        <v>120</v>
      </c>
    </row>
    <row r="448" spans="1:2" x14ac:dyDescent="0.25">
      <c r="A448" s="22">
        <v>120</v>
      </c>
      <c r="B448" s="23">
        <v>1500</v>
      </c>
    </row>
    <row r="449" spans="1:2" x14ac:dyDescent="0.25">
      <c r="A449" s="22">
        <v>500</v>
      </c>
      <c r="B449" s="23">
        <v>200</v>
      </c>
    </row>
    <row r="450" spans="1:2" x14ac:dyDescent="0.25">
      <c r="A450" s="22">
        <v>50</v>
      </c>
      <c r="B450" s="23">
        <v>90</v>
      </c>
    </row>
    <row r="451" spans="1:2" x14ac:dyDescent="0.25">
      <c r="A451" s="22">
        <v>50</v>
      </c>
      <c r="B451" s="23">
        <v>1200</v>
      </c>
    </row>
    <row r="452" spans="1:2" x14ac:dyDescent="0.25">
      <c r="A452" s="22">
        <v>1200</v>
      </c>
      <c r="B452" s="23">
        <v>300</v>
      </c>
    </row>
    <row r="453" spans="1:2" x14ac:dyDescent="0.25">
      <c r="A453" s="22">
        <v>50</v>
      </c>
      <c r="B453" s="23">
        <v>300</v>
      </c>
    </row>
    <row r="454" spans="1:2" x14ac:dyDescent="0.25">
      <c r="A454" s="22">
        <v>25</v>
      </c>
      <c r="B454" s="23">
        <v>1500</v>
      </c>
    </row>
    <row r="455" spans="1:2" x14ac:dyDescent="0.25">
      <c r="A455" s="22">
        <v>300</v>
      </c>
      <c r="B455" s="23">
        <v>60</v>
      </c>
    </row>
    <row r="456" spans="1:2" x14ac:dyDescent="0.25">
      <c r="A456" s="22">
        <v>75</v>
      </c>
      <c r="B456" s="23">
        <v>100</v>
      </c>
    </row>
    <row r="457" spans="1:2" x14ac:dyDescent="0.25">
      <c r="A457" s="22">
        <v>900</v>
      </c>
      <c r="B457" s="23">
        <v>90</v>
      </c>
    </row>
    <row r="458" spans="1:2" x14ac:dyDescent="0.25">
      <c r="A458" s="22">
        <v>100</v>
      </c>
      <c r="B458" s="23">
        <v>30</v>
      </c>
    </row>
    <row r="459" spans="1:2" x14ac:dyDescent="0.25">
      <c r="A459" s="22">
        <v>90</v>
      </c>
      <c r="B459" s="23">
        <v>1000</v>
      </c>
    </row>
    <row r="460" spans="1:2" x14ac:dyDescent="0.25">
      <c r="A460" s="22">
        <v>900</v>
      </c>
      <c r="B460" s="23">
        <v>300</v>
      </c>
    </row>
    <row r="461" spans="1:2" x14ac:dyDescent="0.25">
      <c r="A461" s="22">
        <v>25</v>
      </c>
      <c r="B461" s="23">
        <v>500</v>
      </c>
    </row>
    <row r="462" spans="1:2" x14ac:dyDescent="0.25">
      <c r="A462" s="22">
        <v>60</v>
      </c>
      <c r="B462" s="23">
        <v>60</v>
      </c>
    </row>
    <row r="463" spans="1:2" x14ac:dyDescent="0.25">
      <c r="A463" s="22">
        <v>60</v>
      </c>
      <c r="B463" s="23">
        <v>120</v>
      </c>
    </row>
    <row r="464" spans="1:2" x14ac:dyDescent="0.25">
      <c r="A464" s="22">
        <v>60</v>
      </c>
      <c r="B464" s="23">
        <v>100</v>
      </c>
    </row>
    <row r="465" spans="1:2" x14ac:dyDescent="0.25">
      <c r="A465" s="22">
        <v>50</v>
      </c>
      <c r="B465" s="23">
        <v>50</v>
      </c>
    </row>
    <row r="466" spans="1:2" x14ac:dyDescent="0.25">
      <c r="A466" s="22">
        <v>1000</v>
      </c>
      <c r="B466" s="23">
        <v>50</v>
      </c>
    </row>
    <row r="467" spans="1:2" x14ac:dyDescent="0.25">
      <c r="A467" s="22">
        <v>25</v>
      </c>
      <c r="B467" s="23">
        <v>30</v>
      </c>
    </row>
    <row r="468" spans="1:2" x14ac:dyDescent="0.25">
      <c r="A468" s="22">
        <v>900</v>
      </c>
      <c r="B468" s="23">
        <v>50</v>
      </c>
    </row>
    <row r="469" spans="1:2" x14ac:dyDescent="0.25">
      <c r="A469" s="22">
        <v>50</v>
      </c>
      <c r="B469" s="23">
        <v>600</v>
      </c>
    </row>
    <row r="470" spans="1:2" x14ac:dyDescent="0.25">
      <c r="A470" s="22">
        <v>25</v>
      </c>
      <c r="B470" s="23">
        <v>60</v>
      </c>
    </row>
    <row r="471" spans="1:2" x14ac:dyDescent="0.25">
      <c r="A471" s="22">
        <v>75</v>
      </c>
      <c r="B471" s="23">
        <v>30</v>
      </c>
    </row>
    <row r="472" spans="1:2" x14ac:dyDescent="0.25">
      <c r="A472" s="22">
        <v>90</v>
      </c>
      <c r="B472" s="23">
        <v>50</v>
      </c>
    </row>
    <row r="473" spans="1:2" x14ac:dyDescent="0.25">
      <c r="A473" s="22">
        <v>50</v>
      </c>
      <c r="B473" s="23">
        <v>200</v>
      </c>
    </row>
    <row r="474" spans="1:2" x14ac:dyDescent="0.25">
      <c r="A474" s="22">
        <v>1000</v>
      </c>
      <c r="B474" s="23">
        <v>500</v>
      </c>
    </row>
    <row r="475" spans="1:2" x14ac:dyDescent="0.25">
      <c r="A475" s="22">
        <v>1000</v>
      </c>
      <c r="B475" s="23">
        <v>50</v>
      </c>
    </row>
    <row r="476" spans="1:2" x14ac:dyDescent="0.25">
      <c r="A476" s="22">
        <v>1000</v>
      </c>
      <c r="B476" s="23">
        <v>25</v>
      </c>
    </row>
    <row r="477" spans="1:2" x14ac:dyDescent="0.25">
      <c r="A477" s="22">
        <v>90</v>
      </c>
      <c r="B477" s="23">
        <v>1200</v>
      </c>
    </row>
    <row r="478" spans="1:2" x14ac:dyDescent="0.25">
      <c r="A478" s="24">
        <v>120</v>
      </c>
      <c r="B478" s="25">
        <v>300</v>
      </c>
    </row>
    <row r="479" spans="1:2" x14ac:dyDescent="0.25">
      <c r="B479" s="18">
        <v>900</v>
      </c>
    </row>
    <row r="480" spans="1:2" x14ac:dyDescent="0.25">
      <c r="B480" s="18">
        <v>150</v>
      </c>
    </row>
    <row r="481" spans="2:2" x14ac:dyDescent="0.25">
      <c r="B481" s="18">
        <v>500</v>
      </c>
    </row>
    <row r="482" spans="2:2" x14ac:dyDescent="0.25">
      <c r="B482" s="18">
        <v>75</v>
      </c>
    </row>
    <row r="483" spans="2:2" x14ac:dyDescent="0.25">
      <c r="B483" s="18">
        <v>900</v>
      </c>
    </row>
    <row r="484" spans="2:2" x14ac:dyDescent="0.25">
      <c r="B484" s="18">
        <v>1500</v>
      </c>
    </row>
    <row r="485" spans="2:2" x14ac:dyDescent="0.25">
      <c r="B485" s="18">
        <v>75</v>
      </c>
    </row>
    <row r="486" spans="2:2" x14ac:dyDescent="0.25">
      <c r="B486" s="18">
        <v>100</v>
      </c>
    </row>
    <row r="487" spans="2:2" x14ac:dyDescent="0.25">
      <c r="B487" s="18">
        <v>30</v>
      </c>
    </row>
    <row r="488" spans="2:2" x14ac:dyDescent="0.25">
      <c r="B488" s="18">
        <v>200</v>
      </c>
    </row>
    <row r="489" spans="2:2" x14ac:dyDescent="0.25">
      <c r="B489" s="18">
        <v>500</v>
      </c>
    </row>
    <row r="490" spans="2:2" x14ac:dyDescent="0.25">
      <c r="B490" s="18">
        <v>200</v>
      </c>
    </row>
    <row r="491" spans="2:2" x14ac:dyDescent="0.25">
      <c r="B491" s="18">
        <v>300</v>
      </c>
    </row>
    <row r="492" spans="2:2" x14ac:dyDescent="0.25">
      <c r="B492" s="18">
        <v>30</v>
      </c>
    </row>
    <row r="493" spans="2:2" x14ac:dyDescent="0.25">
      <c r="B493" s="18">
        <v>1500</v>
      </c>
    </row>
    <row r="494" spans="2:2" x14ac:dyDescent="0.25">
      <c r="B494" s="18">
        <v>2000</v>
      </c>
    </row>
    <row r="495" spans="2:2" x14ac:dyDescent="0.25">
      <c r="B495" s="18">
        <v>50</v>
      </c>
    </row>
    <row r="496" spans="2:2" x14ac:dyDescent="0.25">
      <c r="B496" s="18">
        <v>25</v>
      </c>
    </row>
    <row r="497" spans="2:2" x14ac:dyDescent="0.25">
      <c r="B497" s="18">
        <v>1500</v>
      </c>
    </row>
    <row r="498" spans="2:2" x14ac:dyDescent="0.25">
      <c r="B498" s="18">
        <v>120</v>
      </c>
    </row>
    <row r="499" spans="2:2" x14ac:dyDescent="0.25">
      <c r="B499" s="18">
        <v>50</v>
      </c>
    </row>
    <row r="500" spans="2:2" x14ac:dyDescent="0.25">
      <c r="B500" s="18">
        <v>200</v>
      </c>
    </row>
    <row r="501" spans="2:2" x14ac:dyDescent="0.25">
      <c r="B501" s="18">
        <v>900</v>
      </c>
    </row>
    <row r="502" spans="2:2" x14ac:dyDescent="0.25">
      <c r="B502" s="18">
        <v>200</v>
      </c>
    </row>
    <row r="503" spans="2:2" x14ac:dyDescent="0.25">
      <c r="B503" s="18">
        <v>900</v>
      </c>
    </row>
    <row r="504" spans="2:2" x14ac:dyDescent="0.25">
      <c r="B504" s="18">
        <v>2000</v>
      </c>
    </row>
    <row r="505" spans="2:2" x14ac:dyDescent="0.25">
      <c r="B505" s="18">
        <v>200</v>
      </c>
    </row>
    <row r="506" spans="2:2" x14ac:dyDescent="0.25">
      <c r="B506" s="18">
        <v>100</v>
      </c>
    </row>
    <row r="507" spans="2:2" x14ac:dyDescent="0.25">
      <c r="B507" s="18">
        <v>30</v>
      </c>
    </row>
    <row r="508" spans="2:2" x14ac:dyDescent="0.25">
      <c r="B508" s="18">
        <v>200</v>
      </c>
    </row>
    <row r="509" spans="2:2" x14ac:dyDescent="0.25">
      <c r="B509" s="18">
        <v>600</v>
      </c>
    </row>
    <row r="510" spans="2:2" x14ac:dyDescent="0.25">
      <c r="B510" s="18">
        <v>75</v>
      </c>
    </row>
    <row r="511" spans="2:2" x14ac:dyDescent="0.25">
      <c r="B511" s="18">
        <v>150</v>
      </c>
    </row>
    <row r="512" spans="2:2" x14ac:dyDescent="0.25">
      <c r="B512" s="18">
        <v>60</v>
      </c>
    </row>
    <row r="513" spans="2:2" x14ac:dyDescent="0.25">
      <c r="B513" s="18">
        <v>300</v>
      </c>
    </row>
    <row r="514" spans="2:2" x14ac:dyDescent="0.25">
      <c r="B514" s="18">
        <v>500</v>
      </c>
    </row>
    <row r="515" spans="2:2" x14ac:dyDescent="0.25">
      <c r="B515" s="18">
        <v>900</v>
      </c>
    </row>
    <row r="516" spans="2:2" x14ac:dyDescent="0.25">
      <c r="B516" s="18">
        <v>75</v>
      </c>
    </row>
    <row r="517" spans="2:2" x14ac:dyDescent="0.25">
      <c r="B517" s="18">
        <v>25</v>
      </c>
    </row>
    <row r="518" spans="2:2" x14ac:dyDescent="0.25">
      <c r="B518" s="18">
        <v>100</v>
      </c>
    </row>
    <row r="519" spans="2:2" x14ac:dyDescent="0.25">
      <c r="B519" s="18">
        <v>60</v>
      </c>
    </row>
    <row r="520" spans="2:2" x14ac:dyDescent="0.25">
      <c r="B520" s="18">
        <v>150</v>
      </c>
    </row>
    <row r="521" spans="2:2" x14ac:dyDescent="0.25">
      <c r="B521" s="18">
        <v>120</v>
      </c>
    </row>
    <row r="522" spans="2:2" x14ac:dyDescent="0.25">
      <c r="B522" s="18">
        <v>50</v>
      </c>
    </row>
    <row r="523" spans="2:2" x14ac:dyDescent="0.25">
      <c r="B523" s="18">
        <v>100</v>
      </c>
    </row>
    <row r="524" spans="2:2" x14ac:dyDescent="0.25">
      <c r="B524" s="18">
        <v>150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3:G62"/>
  <sheetViews>
    <sheetView workbookViewId="0">
      <selection activeCell="C1" sqref="C1"/>
    </sheetView>
  </sheetViews>
  <sheetFormatPr defaultRowHeight="15" x14ac:dyDescent="0.25"/>
  <cols>
    <col min="1" max="1" width="13.140625" customWidth="1"/>
    <col min="2" max="2" width="19.85546875" customWidth="1"/>
    <col min="3" max="3" width="10.42578125" customWidth="1"/>
    <col min="4" max="5" width="11.85546875" customWidth="1"/>
    <col min="6" max="6" width="9.140625" customWidth="1"/>
    <col min="7" max="7" width="18.7109375" customWidth="1"/>
    <col min="8" max="8" width="15.140625" customWidth="1"/>
  </cols>
  <sheetData>
    <row r="3" spans="1:2" x14ac:dyDescent="0.25">
      <c r="A3" s="6" t="s">
        <v>728</v>
      </c>
      <c r="B3" t="s">
        <v>742</v>
      </c>
    </row>
    <row r="4" spans="1:2" x14ac:dyDescent="0.25">
      <c r="A4" s="7" t="s">
        <v>729</v>
      </c>
      <c r="B4" s="8">
        <v>35740</v>
      </c>
    </row>
    <row r="5" spans="1:2" x14ac:dyDescent="0.25">
      <c r="A5" s="7" t="s">
        <v>730</v>
      </c>
      <c r="B5" s="8">
        <v>49040</v>
      </c>
    </row>
    <row r="6" spans="1:2" x14ac:dyDescent="0.25">
      <c r="A6" s="7" t="s">
        <v>731</v>
      </c>
      <c r="B6" s="8">
        <v>30340</v>
      </c>
    </row>
    <row r="7" spans="1:2" x14ac:dyDescent="0.25">
      <c r="A7" s="7" t="s">
        <v>732</v>
      </c>
      <c r="B7" s="8">
        <v>39645</v>
      </c>
    </row>
    <row r="8" spans="1:2" x14ac:dyDescent="0.25">
      <c r="A8" s="7" t="s">
        <v>733</v>
      </c>
      <c r="B8" s="8">
        <v>51295</v>
      </c>
    </row>
    <row r="9" spans="1:2" x14ac:dyDescent="0.25">
      <c r="A9" s="7" t="s">
        <v>734</v>
      </c>
      <c r="B9" s="8">
        <v>38055</v>
      </c>
    </row>
    <row r="10" spans="1:2" x14ac:dyDescent="0.25">
      <c r="A10" s="7" t="s">
        <v>735</v>
      </c>
      <c r="B10" s="8">
        <v>36240</v>
      </c>
    </row>
    <row r="11" spans="1:2" x14ac:dyDescent="0.25">
      <c r="A11" s="7" t="s">
        <v>736</v>
      </c>
      <c r="B11" s="8">
        <v>46045</v>
      </c>
    </row>
    <row r="12" spans="1:2" x14ac:dyDescent="0.25">
      <c r="A12" s="7" t="s">
        <v>737</v>
      </c>
      <c r="B12" s="8">
        <v>37190</v>
      </c>
    </row>
    <row r="13" spans="1:2" x14ac:dyDescent="0.25">
      <c r="A13" s="7" t="s">
        <v>738</v>
      </c>
      <c r="B13" s="8">
        <v>38320</v>
      </c>
    </row>
    <row r="14" spans="1:2" x14ac:dyDescent="0.25">
      <c r="A14" s="7" t="s">
        <v>739</v>
      </c>
      <c r="B14" s="8">
        <v>26895</v>
      </c>
    </row>
    <row r="15" spans="1:2" x14ac:dyDescent="0.25">
      <c r="A15" s="7" t="s">
        <v>740</v>
      </c>
      <c r="B15" s="8">
        <v>34765</v>
      </c>
    </row>
    <row r="16" spans="1:2" x14ac:dyDescent="0.25">
      <c r="A16" s="7" t="s">
        <v>741</v>
      </c>
      <c r="B16" s="8">
        <v>463570</v>
      </c>
    </row>
    <row r="20" spans="1:2" x14ac:dyDescent="0.25">
      <c r="A20" s="6" t="s">
        <v>728</v>
      </c>
      <c r="B20" t="s">
        <v>742</v>
      </c>
    </row>
    <row r="21" spans="1:2" x14ac:dyDescent="0.25">
      <c r="A21" s="7" t="s">
        <v>10</v>
      </c>
      <c r="B21" s="8">
        <v>147315</v>
      </c>
    </row>
    <row r="22" spans="1:2" x14ac:dyDescent="0.25">
      <c r="A22" s="7" t="s">
        <v>13</v>
      </c>
      <c r="B22" s="8">
        <v>158800</v>
      </c>
    </row>
    <row r="23" spans="1:2" x14ac:dyDescent="0.25">
      <c r="A23" s="7" t="s">
        <v>15</v>
      </c>
      <c r="B23" s="8">
        <v>157455</v>
      </c>
    </row>
    <row r="24" spans="1:2" x14ac:dyDescent="0.25">
      <c r="A24" s="7" t="s">
        <v>741</v>
      </c>
      <c r="B24" s="8">
        <v>463570</v>
      </c>
    </row>
    <row r="28" spans="1:2" x14ac:dyDescent="0.25">
      <c r="A28" s="6" t="s">
        <v>728</v>
      </c>
      <c r="B28" t="s">
        <v>742</v>
      </c>
    </row>
    <row r="29" spans="1:2" x14ac:dyDescent="0.25">
      <c r="A29" s="7" t="s">
        <v>12</v>
      </c>
      <c r="B29" s="8">
        <v>247125</v>
      </c>
    </row>
    <row r="30" spans="1:2" x14ac:dyDescent="0.25">
      <c r="A30" s="7" t="s">
        <v>9</v>
      </c>
      <c r="B30" s="8">
        <v>216445</v>
      </c>
    </row>
    <row r="31" spans="1:2" x14ac:dyDescent="0.25">
      <c r="A31" s="7" t="s">
        <v>741</v>
      </c>
      <c r="B31" s="8">
        <v>463570</v>
      </c>
    </row>
    <row r="35" spans="1:2" x14ac:dyDescent="0.25">
      <c r="A35" s="6" t="s">
        <v>728</v>
      </c>
      <c r="B35" t="s">
        <v>742</v>
      </c>
    </row>
    <row r="36" spans="1:2" x14ac:dyDescent="0.25">
      <c r="A36" s="7" t="s">
        <v>743</v>
      </c>
      <c r="B36" s="8">
        <v>91045</v>
      </c>
    </row>
    <row r="37" spans="1:2" x14ac:dyDescent="0.25">
      <c r="A37" s="7" t="s">
        <v>744</v>
      </c>
      <c r="B37" s="8">
        <v>90250</v>
      </c>
    </row>
    <row r="38" spans="1:2" x14ac:dyDescent="0.25">
      <c r="A38" s="7" t="s">
        <v>745</v>
      </c>
      <c r="B38" s="8">
        <v>89005</v>
      </c>
    </row>
    <row r="39" spans="1:2" x14ac:dyDescent="0.25">
      <c r="A39" s="7" t="s">
        <v>746</v>
      </c>
      <c r="B39" s="8">
        <v>193270</v>
      </c>
    </row>
    <row r="40" spans="1:2" x14ac:dyDescent="0.25">
      <c r="A40" s="7" t="s">
        <v>741</v>
      </c>
      <c r="B40" s="8">
        <v>463570</v>
      </c>
    </row>
    <row r="44" spans="1:2" x14ac:dyDescent="0.25">
      <c r="A44" s="6" t="s">
        <v>728</v>
      </c>
      <c r="B44" t="s">
        <v>742</v>
      </c>
    </row>
    <row r="45" spans="1:2" x14ac:dyDescent="0.25">
      <c r="A45" s="7" t="s">
        <v>30</v>
      </c>
      <c r="B45" s="8">
        <v>6000</v>
      </c>
    </row>
    <row r="46" spans="1:2" x14ac:dyDescent="0.25">
      <c r="A46" s="7" t="s">
        <v>38</v>
      </c>
      <c r="B46" s="8">
        <v>7000</v>
      </c>
    </row>
    <row r="47" spans="1:2" x14ac:dyDescent="0.25">
      <c r="A47" s="7" t="s">
        <v>41</v>
      </c>
      <c r="B47" s="8">
        <v>9650</v>
      </c>
    </row>
    <row r="48" spans="1:2" x14ac:dyDescent="0.25">
      <c r="A48" s="7" t="s">
        <v>61</v>
      </c>
      <c r="B48" s="8">
        <v>5900</v>
      </c>
    </row>
    <row r="49" spans="1:7" x14ac:dyDescent="0.25">
      <c r="A49" s="7" t="s">
        <v>75</v>
      </c>
      <c r="B49" s="8">
        <v>7620</v>
      </c>
    </row>
    <row r="50" spans="1:7" x14ac:dyDescent="0.25">
      <c r="A50" s="7" t="s">
        <v>85</v>
      </c>
      <c r="B50" s="8">
        <v>4825</v>
      </c>
    </row>
    <row r="51" spans="1:7" x14ac:dyDescent="0.25">
      <c r="A51" s="7" t="s">
        <v>88</v>
      </c>
      <c r="B51" s="8">
        <v>6695</v>
      </c>
    </row>
    <row r="52" spans="1:7" x14ac:dyDescent="0.25">
      <c r="A52" s="7" t="s">
        <v>120</v>
      </c>
      <c r="B52" s="8">
        <v>5710</v>
      </c>
    </row>
    <row r="53" spans="1:7" x14ac:dyDescent="0.25">
      <c r="A53" s="7" t="s">
        <v>125</v>
      </c>
      <c r="B53" s="8">
        <v>9485</v>
      </c>
    </row>
    <row r="54" spans="1:7" x14ac:dyDescent="0.25">
      <c r="A54" s="7" t="s">
        <v>151</v>
      </c>
      <c r="B54" s="8">
        <v>7075</v>
      </c>
    </row>
    <row r="55" spans="1:7" x14ac:dyDescent="0.25">
      <c r="A55" s="7" t="s">
        <v>741</v>
      </c>
      <c r="B55" s="8">
        <v>69960</v>
      </c>
    </row>
    <row r="61" spans="1:7" x14ac:dyDescent="0.25">
      <c r="C61" s="2" t="s">
        <v>747</v>
      </c>
      <c r="D61" s="2" t="s">
        <v>748</v>
      </c>
      <c r="E61" s="2" t="s">
        <v>764</v>
      </c>
      <c r="F61" s="2" t="s">
        <v>765</v>
      </c>
      <c r="G61" s="2" t="s">
        <v>766</v>
      </c>
    </row>
    <row r="62" spans="1:7" x14ac:dyDescent="0.25">
      <c r="C62" s="9">
        <v>463570</v>
      </c>
      <c r="D62" s="9">
        <v>1000</v>
      </c>
      <c r="E62" s="9">
        <v>41.164000000000001</v>
      </c>
      <c r="F62" s="9">
        <v>2560</v>
      </c>
      <c r="G62" s="9">
        <v>463.57</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1001"/>
  <sheetViews>
    <sheetView workbookViewId="0">
      <selection activeCell="I6" sqref="I6"/>
    </sheetView>
  </sheetViews>
  <sheetFormatPr defaultRowHeight="15" x14ac:dyDescent="0.25"/>
  <cols>
    <col min="1" max="1" width="18.28515625" style="2" bestFit="1" customWidth="1"/>
    <col min="2" max="2" width="10.42578125" style="2" bestFit="1" customWidth="1"/>
    <col min="3" max="3" width="16.5703125" style="2" bestFit="1" customWidth="1"/>
    <col min="4" max="4" width="11.85546875" style="2" bestFit="1" customWidth="1"/>
    <col min="5" max="5" width="8.7109375" style="2" bestFit="1" customWidth="1"/>
    <col min="6" max="6" width="21.140625" style="2" bestFit="1" customWidth="1"/>
    <col min="7" max="7" width="13" style="2" bestFit="1" customWidth="1"/>
    <col min="8" max="8" width="18.7109375" style="2" bestFit="1" customWidth="1"/>
    <col min="9" max="9" width="17.7109375" style="2" bestFit="1" customWidth="1"/>
    <col min="10" max="10" width="11.42578125" style="2" bestFit="1" customWidth="1"/>
    <col min="11" max="11" width="20.140625" style="2" bestFit="1" customWidth="1"/>
    <col min="12" max="12" width="9.42578125" style="2" bestFit="1" customWidth="1"/>
    <col min="13" max="13" width="14.85546875" style="2" bestFit="1" customWidth="1"/>
    <col min="14" max="16384" width="9.140625" style="2"/>
  </cols>
  <sheetData>
    <row r="1" spans="1:13" x14ac:dyDescent="0.25">
      <c r="A1" s="2" t="s">
        <v>716</v>
      </c>
      <c r="B1" s="3" t="s">
        <v>717</v>
      </c>
      <c r="C1" s="2" t="s">
        <v>718</v>
      </c>
      <c r="D1" s="2" t="s">
        <v>719</v>
      </c>
      <c r="E1" s="4" t="s">
        <v>720</v>
      </c>
      <c r="F1" s="2" t="s">
        <v>721</v>
      </c>
      <c r="G1" s="4" t="s">
        <v>722</v>
      </c>
      <c r="H1" s="5" t="s">
        <v>723</v>
      </c>
      <c r="I1" s="5" t="s">
        <v>724</v>
      </c>
      <c r="J1" s="2" t="s">
        <v>725</v>
      </c>
      <c r="K1" s="2" t="s">
        <v>762</v>
      </c>
      <c r="L1" s="2" t="s">
        <v>726</v>
      </c>
      <c r="M1" s="2" t="s">
        <v>727</v>
      </c>
    </row>
    <row r="2" spans="1:13" x14ac:dyDescent="0.25">
      <c r="A2" s="2">
        <v>1</v>
      </c>
      <c r="B2" s="1">
        <v>45658</v>
      </c>
      <c r="C2" t="s">
        <v>8</v>
      </c>
      <c r="D2" t="s">
        <v>9</v>
      </c>
      <c r="E2">
        <v>34</v>
      </c>
      <c r="F2" s="2" t="s">
        <v>10</v>
      </c>
      <c r="G2" s="2">
        <v>3</v>
      </c>
      <c r="H2" s="5">
        <v>50</v>
      </c>
      <c r="I2" s="5">
        <f t="shared" ref="I2:I65" si="0">G2*H2</f>
        <v>150</v>
      </c>
      <c r="J2" s="2" t="str">
        <f>TEXT([1]retail_sales_cleaned_dataset!B2,"mmmm")</f>
        <v>January</v>
      </c>
      <c r="K2" s="2">
        <f>MONTH([1]retail_sales_cleaned_dataset!B2)</f>
        <v>1</v>
      </c>
      <c r="L2" s="2">
        <f>YEAR([1]retail_sales_cleaned_dataset!B2)</f>
        <v>2025</v>
      </c>
      <c r="M2" s="2" t="str">
        <f t="shared" ref="M2:M65" si="1">IF(E2&lt;=25,"18-25",IF(E2&lt;=35,"26-35",IF(E2&lt;=45,"36-45","46+")))</f>
        <v>26-35</v>
      </c>
    </row>
    <row r="3" spans="1:13" x14ac:dyDescent="0.25">
      <c r="A3" s="2">
        <v>2</v>
      </c>
      <c r="B3" s="1">
        <v>45658</v>
      </c>
      <c r="C3" t="s">
        <v>11</v>
      </c>
      <c r="D3" t="s">
        <v>12</v>
      </c>
      <c r="E3">
        <v>26</v>
      </c>
      <c r="F3" s="2" t="s">
        <v>13</v>
      </c>
      <c r="G3" s="2">
        <v>2</v>
      </c>
      <c r="H3" s="5">
        <v>500</v>
      </c>
      <c r="I3" s="5">
        <f t="shared" si="0"/>
        <v>1000</v>
      </c>
      <c r="J3" s="2" t="str">
        <f>TEXT([1]retail_sales_cleaned_dataset!B3,"mmmm")</f>
        <v>January</v>
      </c>
      <c r="K3" s="2">
        <f>MONTH([1]retail_sales_cleaned_dataset!B3)</f>
        <v>1</v>
      </c>
      <c r="L3" s="2">
        <f>YEAR([1]retail_sales_cleaned_dataset!B3)</f>
        <v>2025</v>
      </c>
      <c r="M3" s="2" t="str">
        <f t="shared" si="1"/>
        <v>26-35</v>
      </c>
    </row>
    <row r="4" spans="1:13" x14ac:dyDescent="0.25">
      <c r="A4" s="2">
        <v>3</v>
      </c>
      <c r="B4" s="1">
        <v>45658</v>
      </c>
      <c r="C4" t="s">
        <v>14</v>
      </c>
      <c r="D4" t="s">
        <v>9</v>
      </c>
      <c r="E4">
        <v>50</v>
      </c>
      <c r="F4" s="2" t="s">
        <v>15</v>
      </c>
      <c r="G4" s="2">
        <v>1</v>
      </c>
      <c r="H4" s="5">
        <v>30</v>
      </c>
      <c r="I4" s="5">
        <f t="shared" si="0"/>
        <v>30</v>
      </c>
      <c r="J4" s="2" t="str">
        <f>TEXT([1]retail_sales_cleaned_dataset!B4,"mmmm")</f>
        <v>January</v>
      </c>
      <c r="K4" s="2">
        <f>MONTH([1]retail_sales_cleaned_dataset!B4)</f>
        <v>1</v>
      </c>
      <c r="L4" s="2">
        <f>YEAR([1]retail_sales_cleaned_dataset!B4)</f>
        <v>2025</v>
      </c>
      <c r="M4" s="2" t="str">
        <f t="shared" si="1"/>
        <v>46+</v>
      </c>
    </row>
    <row r="5" spans="1:13" x14ac:dyDescent="0.25">
      <c r="A5" s="2">
        <v>4</v>
      </c>
      <c r="B5" s="1">
        <v>45659</v>
      </c>
      <c r="C5" t="s">
        <v>16</v>
      </c>
      <c r="D5" t="s">
        <v>9</v>
      </c>
      <c r="E5">
        <v>37</v>
      </c>
      <c r="F5" s="2" t="s">
        <v>13</v>
      </c>
      <c r="G5" s="2">
        <v>1</v>
      </c>
      <c r="H5" s="5">
        <v>500</v>
      </c>
      <c r="I5" s="5">
        <f t="shared" si="0"/>
        <v>500</v>
      </c>
      <c r="J5" s="2" t="str">
        <f>TEXT([1]retail_sales_cleaned_dataset!B5,"mmmm")</f>
        <v>January</v>
      </c>
      <c r="K5" s="2">
        <f>MONTH([1]retail_sales_cleaned_dataset!B5)</f>
        <v>1</v>
      </c>
      <c r="L5" s="2">
        <f>YEAR([1]retail_sales_cleaned_dataset!B5)</f>
        <v>2025</v>
      </c>
      <c r="M5" s="2" t="str">
        <f t="shared" si="1"/>
        <v>36-45</v>
      </c>
    </row>
    <row r="6" spans="1:13" x14ac:dyDescent="0.25">
      <c r="A6" s="2">
        <v>5</v>
      </c>
      <c r="B6" s="1">
        <v>45659</v>
      </c>
      <c r="C6" t="s">
        <v>17</v>
      </c>
      <c r="D6" t="s">
        <v>9</v>
      </c>
      <c r="E6">
        <v>30</v>
      </c>
      <c r="F6" s="2" t="s">
        <v>10</v>
      </c>
      <c r="G6" s="2">
        <v>2</v>
      </c>
      <c r="H6" s="5">
        <v>50</v>
      </c>
      <c r="I6" s="5">
        <f t="shared" si="0"/>
        <v>100</v>
      </c>
      <c r="J6" s="2" t="str">
        <f>TEXT([1]retail_sales_cleaned_dataset!B6,"mmmm")</f>
        <v>January</v>
      </c>
      <c r="K6" s="2">
        <f>MONTH([1]retail_sales_cleaned_dataset!B6)</f>
        <v>1</v>
      </c>
      <c r="L6" s="2">
        <f>YEAR([1]retail_sales_cleaned_dataset!B6)</f>
        <v>2025</v>
      </c>
      <c r="M6" s="2" t="str">
        <f t="shared" si="1"/>
        <v>26-35</v>
      </c>
    </row>
    <row r="7" spans="1:13" x14ac:dyDescent="0.25">
      <c r="A7" s="2">
        <v>6</v>
      </c>
      <c r="B7" s="1">
        <v>45659</v>
      </c>
      <c r="C7" t="s">
        <v>18</v>
      </c>
      <c r="D7" t="s">
        <v>12</v>
      </c>
      <c r="E7">
        <v>45</v>
      </c>
      <c r="F7" s="2" t="s">
        <v>10</v>
      </c>
      <c r="G7" s="2">
        <v>1</v>
      </c>
      <c r="H7" s="5">
        <v>30</v>
      </c>
      <c r="I7" s="5">
        <f t="shared" si="0"/>
        <v>30</v>
      </c>
      <c r="J7" s="2" t="str">
        <f>TEXT([1]retail_sales_cleaned_dataset!B7,"mmmm")</f>
        <v>January</v>
      </c>
      <c r="K7" s="2">
        <f>MONTH([1]retail_sales_cleaned_dataset!B7)</f>
        <v>1</v>
      </c>
      <c r="L7" s="2">
        <f>YEAR([1]retail_sales_cleaned_dataset!B7)</f>
        <v>2025</v>
      </c>
      <c r="M7" s="2" t="str">
        <f t="shared" si="1"/>
        <v>36-45</v>
      </c>
    </row>
    <row r="8" spans="1:13" x14ac:dyDescent="0.25">
      <c r="A8" s="2">
        <v>7</v>
      </c>
      <c r="B8" s="1">
        <v>45659</v>
      </c>
      <c r="C8" t="s">
        <v>19</v>
      </c>
      <c r="D8" t="s">
        <v>9</v>
      </c>
      <c r="E8">
        <v>46</v>
      </c>
      <c r="F8" s="2" t="s">
        <v>13</v>
      </c>
      <c r="G8" s="2">
        <v>2</v>
      </c>
      <c r="H8" s="5">
        <v>25</v>
      </c>
      <c r="I8" s="5">
        <f t="shared" si="0"/>
        <v>50</v>
      </c>
      <c r="J8" s="2" t="str">
        <f>TEXT([1]retail_sales_cleaned_dataset!B8,"mmmm")</f>
        <v>January</v>
      </c>
      <c r="K8" s="2">
        <f>MONTH([1]retail_sales_cleaned_dataset!B8)</f>
        <v>1</v>
      </c>
      <c r="L8" s="2">
        <f>YEAR([1]retail_sales_cleaned_dataset!B8)</f>
        <v>2025</v>
      </c>
      <c r="M8" s="2" t="str">
        <f t="shared" si="1"/>
        <v>46+</v>
      </c>
    </row>
    <row r="9" spans="1:13" x14ac:dyDescent="0.25">
      <c r="A9" s="2">
        <v>8</v>
      </c>
      <c r="B9" s="1">
        <v>45660</v>
      </c>
      <c r="C9" t="s">
        <v>20</v>
      </c>
      <c r="D9" t="s">
        <v>9</v>
      </c>
      <c r="E9">
        <v>30</v>
      </c>
      <c r="F9" s="2" t="s">
        <v>15</v>
      </c>
      <c r="G9" s="2">
        <v>4</v>
      </c>
      <c r="H9" s="5">
        <v>25</v>
      </c>
      <c r="I9" s="5">
        <f t="shared" si="0"/>
        <v>100</v>
      </c>
      <c r="J9" s="2" t="str">
        <f>TEXT([1]retail_sales_cleaned_dataset!B9,"mmmm")</f>
        <v>January</v>
      </c>
      <c r="K9" s="2">
        <f>MONTH([1]retail_sales_cleaned_dataset!B9)</f>
        <v>1</v>
      </c>
      <c r="L9" s="2">
        <f>YEAR([1]retail_sales_cleaned_dataset!B9)</f>
        <v>2025</v>
      </c>
      <c r="M9" s="2" t="str">
        <f t="shared" si="1"/>
        <v>26-35</v>
      </c>
    </row>
    <row r="10" spans="1:13" x14ac:dyDescent="0.25">
      <c r="A10" s="2">
        <v>9</v>
      </c>
      <c r="B10" s="1">
        <v>45661</v>
      </c>
      <c r="C10" t="s">
        <v>21</v>
      </c>
      <c r="D10" t="s">
        <v>9</v>
      </c>
      <c r="E10">
        <v>63</v>
      </c>
      <c r="F10" s="2" t="s">
        <v>15</v>
      </c>
      <c r="G10" s="2">
        <v>2</v>
      </c>
      <c r="H10" s="5">
        <v>300</v>
      </c>
      <c r="I10" s="5">
        <f t="shared" si="0"/>
        <v>600</v>
      </c>
      <c r="J10" s="2" t="str">
        <f>TEXT([1]retail_sales_cleaned_dataset!B10,"mmmm")</f>
        <v>January</v>
      </c>
      <c r="K10" s="2">
        <f>MONTH([1]retail_sales_cleaned_dataset!B10)</f>
        <v>1</v>
      </c>
      <c r="L10" s="2">
        <f>YEAR([1]retail_sales_cleaned_dataset!B10)</f>
        <v>2025</v>
      </c>
      <c r="M10" s="2" t="str">
        <f t="shared" si="1"/>
        <v>46+</v>
      </c>
    </row>
    <row r="11" spans="1:13" x14ac:dyDescent="0.25">
      <c r="A11" s="2">
        <v>10</v>
      </c>
      <c r="B11" s="1">
        <v>45661</v>
      </c>
      <c r="C11" t="s">
        <v>22</v>
      </c>
      <c r="D11" t="s">
        <v>12</v>
      </c>
      <c r="E11">
        <v>52</v>
      </c>
      <c r="F11" s="2" t="s">
        <v>13</v>
      </c>
      <c r="G11" s="2">
        <v>4</v>
      </c>
      <c r="H11" s="5">
        <v>50</v>
      </c>
      <c r="I11" s="5">
        <f t="shared" si="0"/>
        <v>200</v>
      </c>
      <c r="J11" s="2" t="str">
        <f>TEXT([1]retail_sales_cleaned_dataset!B11,"mmmm")</f>
        <v>January</v>
      </c>
      <c r="K11" s="2">
        <f>MONTH([1]retail_sales_cleaned_dataset!B11)</f>
        <v>1</v>
      </c>
      <c r="L11" s="2">
        <f>YEAR([1]retail_sales_cleaned_dataset!B11)</f>
        <v>2025</v>
      </c>
      <c r="M11" s="2" t="str">
        <f t="shared" si="1"/>
        <v>46+</v>
      </c>
    </row>
    <row r="12" spans="1:13" x14ac:dyDescent="0.25">
      <c r="A12" s="2">
        <v>11</v>
      </c>
      <c r="B12" s="1">
        <v>45661</v>
      </c>
      <c r="C12" t="s">
        <v>23</v>
      </c>
      <c r="D12" t="s">
        <v>9</v>
      </c>
      <c r="E12">
        <v>23</v>
      </c>
      <c r="F12" s="2" t="s">
        <v>13</v>
      </c>
      <c r="G12" s="2">
        <v>2</v>
      </c>
      <c r="H12" s="5">
        <v>50</v>
      </c>
      <c r="I12" s="5">
        <f t="shared" si="0"/>
        <v>100</v>
      </c>
      <c r="J12" s="2" t="str">
        <f>TEXT([1]retail_sales_cleaned_dataset!B12,"mmmm")</f>
        <v>January</v>
      </c>
      <c r="K12" s="2">
        <f>MONTH([1]retail_sales_cleaned_dataset!B12)</f>
        <v>1</v>
      </c>
      <c r="L12" s="2">
        <f>YEAR([1]retail_sales_cleaned_dataset!B12)</f>
        <v>2025</v>
      </c>
      <c r="M12" s="2" t="str">
        <f t="shared" si="1"/>
        <v>18-25</v>
      </c>
    </row>
    <row r="13" spans="1:13" x14ac:dyDescent="0.25">
      <c r="A13" s="2">
        <v>12</v>
      </c>
      <c r="B13" s="1">
        <v>45662</v>
      </c>
      <c r="C13" t="s">
        <v>21</v>
      </c>
      <c r="D13" t="s">
        <v>9</v>
      </c>
      <c r="E13">
        <v>35</v>
      </c>
      <c r="F13" s="2" t="s">
        <v>10</v>
      </c>
      <c r="G13" s="2">
        <v>3</v>
      </c>
      <c r="H13" s="5">
        <v>25</v>
      </c>
      <c r="I13" s="5">
        <f t="shared" si="0"/>
        <v>75</v>
      </c>
      <c r="J13" s="2" t="str">
        <f>TEXT([1]retail_sales_cleaned_dataset!B13,"mmmm")</f>
        <v>January</v>
      </c>
      <c r="K13" s="2">
        <f>MONTH([1]retail_sales_cleaned_dataset!B13)</f>
        <v>1</v>
      </c>
      <c r="L13" s="2">
        <f>YEAR([1]retail_sales_cleaned_dataset!B13)</f>
        <v>2025</v>
      </c>
      <c r="M13" s="2" t="str">
        <f t="shared" si="1"/>
        <v>26-35</v>
      </c>
    </row>
    <row r="14" spans="1:13" x14ac:dyDescent="0.25">
      <c r="A14" s="2">
        <v>13</v>
      </c>
      <c r="B14" s="1">
        <v>45662</v>
      </c>
      <c r="C14" t="s">
        <v>24</v>
      </c>
      <c r="D14" t="s">
        <v>9</v>
      </c>
      <c r="E14">
        <v>22</v>
      </c>
      <c r="F14" s="2" t="s">
        <v>15</v>
      </c>
      <c r="G14" s="2">
        <v>3</v>
      </c>
      <c r="H14" s="5">
        <v>500</v>
      </c>
      <c r="I14" s="5">
        <f t="shared" si="0"/>
        <v>1500</v>
      </c>
      <c r="J14" s="2" t="str">
        <f>TEXT([1]retail_sales_cleaned_dataset!B14,"mmmm")</f>
        <v>January</v>
      </c>
      <c r="K14" s="2">
        <f>MONTH([1]retail_sales_cleaned_dataset!B14)</f>
        <v>1</v>
      </c>
      <c r="L14" s="2">
        <f>YEAR([1]retail_sales_cleaned_dataset!B14)</f>
        <v>2025</v>
      </c>
      <c r="M14" s="2" t="str">
        <f t="shared" si="1"/>
        <v>18-25</v>
      </c>
    </row>
    <row r="15" spans="1:13" x14ac:dyDescent="0.25">
      <c r="A15" s="2">
        <v>14</v>
      </c>
      <c r="B15" s="1">
        <v>45662</v>
      </c>
      <c r="C15" t="s">
        <v>25</v>
      </c>
      <c r="D15" t="s">
        <v>9</v>
      </c>
      <c r="E15">
        <v>64</v>
      </c>
      <c r="F15" s="2" t="s">
        <v>13</v>
      </c>
      <c r="G15" s="2">
        <v>4</v>
      </c>
      <c r="H15" s="5">
        <v>30</v>
      </c>
      <c r="I15" s="5">
        <f t="shared" si="0"/>
        <v>120</v>
      </c>
      <c r="J15" s="2" t="str">
        <f>TEXT([1]retail_sales_cleaned_dataset!B15,"mmmm")</f>
        <v>January</v>
      </c>
      <c r="K15" s="2">
        <f>MONTH([1]retail_sales_cleaned_dataset!B15)</f>
        <v>1</v>
      </c>
      <c r="L15" s="2">
        <f>YEAR([1]retail_sales_cleaned_dataset!B15)</f>
        <v>2025</v>
      </c>
      <c r="M15" s="2" t="str">
        <f t="shared" si="1"/>
        <v>46+</v>
      </c>
    </row>
    <row r="16" spans="1:13" x14ac:dyDescent="0.25">
      <c r="A16" s="2">
        <v>15</v>
      </c>
      <c r="B16" s="1">
        <v>45663</v>
      </c>
      <c r="C16" t="s">
        <v>26</v>
      </c>
      <c r="D16" t="s">
        <v>12</v>
      </c>
      <c r="E16">
        <v>42</v>
      </c>
      <c r="F16" s="2" t="s">
        <v>15</v>
      </c>
      <c r="G16" s="2">
        <v>4</v>
      </c>
      <c r="H16" s="5">
        <v>500</v>
      </c>
      <c r="I16" s="5">
        <f t="shared" si="0"/>
        <v>2000</v>
      </c>
      <c r="J16" s="2" t="str">
        <f>TEXT([1]retail_sales_cleaned_dataset!B16,"mmmm")</f>
        <v>January</v>
      </c>
      <c r="K16" s="2">
        <f>MONTH([1]retail_sales_cleaned_dataset!B16)</f>
        <v>1</v>
      </c>
      <c r="L16" s="2">
        <f>YEAR([1]retail_sales_cleaned_dataset!B16)</f>
        <v>2025</v>
      </c>
      <c r="M16" s="2" t="str">
        <f t="shared" si="1"/>
        <v>36-45</v>
      </c>
    </row>
    <row r="17" spans="1:13" x14ac:dyDescent="0.25">
      <c r="A17" s="2">
        <v>16</v>
      </c>
      <c r="B17" s="1">
        <v>45663</v>
      </c>
      <c r="C17" t="s">
        <v>27</v>
      </c>
      <c r="D17" t="s">
        <v>9</v>
      </c>
      <c r="E17">
        <v>19</v>
      </c>
      <c r="F17" s="2" t="s">
        <v>13</v>
      </c>
      <c r="G17" s="2">
        <v>3</v>
      </c>
      <c r="H17" s="5">
        <v>500</v>
      </c>
      <c r="I17" s="5">
        <f t="shared" si="0"/>
        <v>1500</v>
      </c>
      <c r="J17" s="2" t="str">
        <f>TEXT([1]retail_sales_cleaned_dataset!B17,"mmmm")</f>
        <v>January</v>
      </c>
      <c r="K17" s="2">
        <f>MONTH([1]retail_sales_cleaned_dataset!B17)</f>
        <v>1</v>
      </c>
      <c r="L17" s="2">
        <f>YEAR([1]retail_sales_cleaned_dataset!B17)</f>
        <v>2025</v>
      </c>
      <c r="M17" s="2" t="str">
        <f t="shared" si="1"/>
        <v>18-25</v>
      </c>
    </row>
    <row r="18" spans="1:13" x14ac:dyDescent="0.25">
      <c r="A18" s="2">
        <v>17</v>
      </c>
      <c r="B18" s="1">
        <v>45664</v>
      </c>
      <c r="C18" t="s">
        <v>28</v>
      </c>
      <c r="D18" t="s">
        <v>12</v>
      </c>
      <c r="E18">
        <v>27</v>
      </c>
      <c r="F18" s="2" t="s">
        <v>13</v>
      </c>
      <c r="G18" s="2">
        <v>4</v>
      </c>
      <c r="H18" s="5">
        <v>25</v>
      </c>
      <c r="I18" s="5">
        <f t="shared" si="0"/>
        <v>100</v>
      </c>
      <c r="J18" s="2" t="str">
        <f>TEXT([1]retail_sales_cleaned_dataset!B18,"mmmm")</f>
        <v>January</v>
      </c>
      <c r="K18" s="2">
        <f>MONTH([1]retail_sales_cleaned_dataset!B18)</f>
        <v>1</v>
      </c>
      <c r="L18" s="2">
        <f>YEAR([1]retail_sales_cleaned_dataset!B18)</f>
        <v>2025</v>
      </c>
      <c r="M18" s="2" t="str">
        <f t="shared" si="1"/>
        <v>26-35</v>
      </c>
    </row>
    <row r="19" spans="1:13" x14ac:dyDescent="0.25">
      <c r="A19" s="2">
        <v>18</v>
      </c>
      <c r="B19" s="1">
        <v>45664</v>
      </c>
      <c r="C19" t="s">
        <v>29</v>
      </c>
      <c r="D19" t="s">
        <v>12</v>
      </c>
      <c r="E19">
        <v>47</v>
      </c>
      <c r="F19" s="2" t="s">
        <v>15</v>
      </c>
      <c r="G19" s="2">
        <v>2</v>
      </c>
      <c r="H19" s="5">
        <v>25</v>
      </c>
      <c r="I19" s="5">
        <f t="shared" si="0"/>
        <v>50</v>
      </c>
      <c r="J19" s="2" t="str">
        <f>TEXT([1]retail_sales_cleaned_dataset!B19,"mmmm")</f>
        <v>January</v>
      </c>
      <c r="K19" s="2">
        <f>MONTH([1]retail_sales_cleaned_dataset!B19)</f>
        <v>1</v>
      </c>
      <c r="L19" s="2">
        <f>YEAR([1]retail_sales_cleaned_dataset!B19)</f>
        <v>2025</v>
      </c>
      <c r="M19" s="2" t="str">
        <f t="shared" si="1"/>
        <v>46+</v>
      </c>
    </row>
    <row r="20" spans="1:13" x14ac:dyDescent="0.25">
      <c r="A20" s="2">
        <v>19</v>
      </c>
      <c r="B20" s="1">
        <v>45665</v>
      </c>
      <c r="C20" t="s">
        <v>30</v>
      </c>
      <c r="D20" t="s">
        <v>12</v>
      </c>
      <c r="E20">
        <v>62</v>
      </c>
      <c r="F20" s="2" t="s">
        <v>13</v>
      </c>
      <c r="G20" s="2">
        <v>2</v>
      </c>
      <c r="H20" s="5">
        <v>25</v>
      </c>
      <c r="I20" s="5">
        <f t="shared" si="0"/>
        <v>50</v>
      </c>
      <c r="J20" s="2" t="str">
        <f>TEXT([1]retail_sales_cleaned_dataset!B20,"mmmm")</f>
        <v>January</v>
      </c>
      <c r="K20" s="2">
        <f>MONTH([1]retail_sales_cleaned_dataset!B20)</f>
        <v>1</v>
      </c>
      <c r="L20" s="2">
        <f>YEAR([1]retail_sales_cleaned_dataset!B20)</f>
        <v>2025</v>
      </c>
      <c r="M20" s="2" t="str">
        <f t="shared" si="1"/>
        <v>46+</v>
      </c>
    </row>
    <row r="21" spans="1:13" x14ac:dyDescent="0.25">
      <c r="A21" s="2">
        <v>20</v>
      </c>
      <c r="B21" s="1">
        <v>45665</v>
      </c>
      <c r="C21" t="s">
        <v>31</v>
      </c>
      <c r="D21" t="s">
        <v>9</v>
      </c>
      <c r="E21">
        <v>22</v>
      </c>
      <c r="F21" s="2" t="s">
        <v>13</v>
      </c>
      <c r="G21" s="2">
        <v>3</v>
      </c>
      <c r="H21" s="5">
        <v>300</v>
      </c>
      <c r="I21" s="5">
        <f t="shared" si="0"/>
        <v>900</v>
      </c>
      <c r="J21" s="2" t="str">
        <f>TEXT([1]retail_sales_cleaned_dataset!B21,"mmmm")</f>
        <v>January</v>
      </c>
      <c r="K21" s="2">
        <f>MONTH([1]retail_sales_cleaned_dataset!B21)</f>
        <v>1</v>
      </c>
      <c r="L21" s="2">
        <f>YEAR([1]retail_sales_cleaned_dataset!B21)</f>
        <v>2025</v>
      </c>
      <c r="M21" s="2" t="str">
        <f t="shared" si="1"/>
        <v>18-25</v>
      </c>
    </row>
    <row r="22" spans="1:13" x14ac:dyDescent="0.25">
      <c r="A22" s="2">
        <v>21</v>
      </c>
      <c r="B22" s="1">
        <v>45666</v>
      </c>
      <c r="C22" t="s">
        <v>32</v>
      </c>
      <c r="D22" t="s">
        <v>12</v>
      </c>
      <c r="E22">
        <v>50</v>
      </c>
      <c r="F22" s="2" t="s">
        <v>10</v>
      </c>
      <c r="G22" s="2">
        <v>1</v>
      </c>
      <c r="H22" s="5">
        <v>500</v>
      </c>
      <c r="I22" s="5">
        <f t="shared" si="0"/>
        <v>500</v>
      </c>
      <c r="J22" s="2" t="str">
        <f>TEXT([1]retail_sales_cleaned_dataset!B22,"mmmm")</f>
        <v>January</v>
      </c>
      <c r="K22" s="2">
        <f>MONTH([1]retail_sales_cleaned_dataset!B22)</f>
        <v>1</v>
      </c>
      <c r="L22" s="2">
        <f>YEAR([1]retail_sales_cleaned_dataset!B22)</f>
        <v>2025</v>
      </c>
      <c r="M22" s="2" t="str">
        <f t="shared" si="1"/>
        <v>46+</v>
      </c>
    </row>
    <row r="23" spans="1:13" x14ac:dyDescent="0.25">
      <c r="A23" s="2">
        <v>22</v>
      </c>
      <c r="B23" s="1">
        <v>45667</v>
      </c>
      <c r="C23" t="s">
        <v>33</v>
      </c>
      <c r="D23" t="s">
        <v>9</v>
      </c>
      <c r="E23">
        <v>18</v>
      </c>
      <c r="F23" s="2" t="s">
        <v>13</v>
      </c>
      <c r="G23" s="2">
        <v>2</v>
      </c>
      <c r="H23" s="5">
        <v>50</v>
      </c>
      <c r="I23" s="5">
        <f t="shared" si="0"/>
        <v>100</v>
      </c>
      <c r="J23" s="2" t="str">
        <f>TEXT([1]retail_sales_cleaned_dataset!B23,"mmmm")</f>
        <v>January</v>
      </c>
      <c r="K23" s="2">
        <f>MONTH([1]retail_sales_cleaned_dataset!B23)</f>
        <v>1</v>
      </c>
      <c r="L23" s="2">
        <f>YEAR([1]retail_sales_cleaned_dataset!B23)</f>
        <v>2025</v>
      </c>
      <c r="M23" s="2" t="str">
        <f t="shared" si="1"/>
        <v>18-25</v>
      </c>
    </row>
    <row r="24" spans="1:13" x14ac:dyDescent="0.25">
      <c r="A24" s="2">
        <v>23</v>
      </c>
      <c r="B24" s="1">
        <v>45667</v>
      </c>
      <c r="C24" t="s">
        <v>34</v>
      </c>
      <c r="D24" t="s">
        <v>12</v>
      </c>
      <c r="E24">
        <v>35</v>
      </c>
      <c r="F24" s="2" t="s">
        <v>13</v>
      </c>
      <c r="G24" s="2">
        <v>4</v>
      </c>
      <c r="H24" s="5">
        <v>30</v>
      </c>
      <c r="I24" s="5">
        <f t="shared" si="0"/>
        <v>120</v>
      </c>
      <c r="J24" s="2" t="str">
        <f>TEXT([1]retail_sales_cleaned_dataset!B24,"mmmm")</f>
        <v>January</v>
      </c>
      <c r="K24" s="2">
        <f>MONTH([1]retail_sales_cleaned_dataset!B24)</f>
        <v>1</v>
      </c>
      <c r="L24" s="2">
        <f>YEAR([1]retail_sales_cleaned_dataset!B24)</f>
        <v>2025</v>
      </c>
      <c r="M24" s="2" t="str">
        <f t="shared" si="1"/>
        <v>26-35</v>
      </c>
    </row>
    <row r="25" spans="1:13" x14ac:dyDescent="0.25">
      <c r="A25" s="2">
        <v>24</v>
      </c>
      <c r="B25" s="1">
        <v>45668</v>
      </c>
      <c r="C25" t="s">
        <v>35</v>
      </c>
      <c r="D25" t="s">
        <v>12</v>
      </c>
      <c r="E25">
        <v>49</v>
      </c>
      <c r="F25" s="2" t="s">
        <v>13</v>
      </c>
      <c r="G25" s="2">
        <v>1</v>
      </c>
      <c r="H25" s="5">
        <v>300</v>
      </c>
      <c r="I25" s="5">
        <f t="shared" si="0"/>
        <v>300</v>
      </c>
      <c r="J25" s="2" t="str">
        <f>TEXT([1]retail_sales_cleaned_dataset!B25,"mmmm")</f>
        <v>January</v>
      </c>
      <c r="K25" s="2">
        <f>MONTH([1]retail_sales_cleaned_dataset!B25)</f>
        <v>1</v>
      </c>
      <c r="L25" s="2">
        <f>YEAR([1]retail_sales_cleaned_dataset!B25)</f>
        <v>2025</v>
      </c>
      <c r="M25" s="2" t="str">
        <f t="shared" si="1"/>
        <v>46+</v>
      </c>
    </row>
    <row r="26" spans="1:13" x14ac:dyDescent="0.25">
      <c r="A26" s="2">
        <v>25</v>
      </c>
      <c r="B26" s="1">
        <v>45668</v>
      </c>
      <c r="C26" t="s">
        <v>30</v>
      </c>
      <c r="D26" t="s">
        <v>12</v>
      </c>
      <c r="E26">
        <v>64</v>
      </c>
      <c r="F26" s="2" t="s">
        <v>10</v>
      </c>
      <c r="G26" s="2">
        <v>1</v>
      </c>
      <c r="H26" s="5">
        <v>50</v>
      </c>
      <c r="I26" s="5">
        <f t="shared" si="0"/>
        <v>50</v>
      </c>
      <c r="J26" s="2" t="str">
        <f>TEXT([1]retail_sales_cleaned_dataset!B26,"mmmm")</f>
        <v>January</v>
      </c>
      <c r="K26" s="2">
        <f>MONTH([1]retail_sales_cleaned_dataset!B26)</f>
        <v>1</v>
      </c>
      <c r="L26" s="2">
        <f>YEAR([1]retail_sales_cleaned_dataset!B26)</f>
        <v>2025</v>
      </c>
      <c r="M26" s="2" t="str">
        <f t="shared" si="1"/>
        <v>46+</v>
      </c>
    </row>
    <row r="27" spans="1:13" x14ac:dyDescent="0.25">
      <c r="A27" s="2">
        <v>26</v>
      </c>
      <c r="B27" s="1">
        <v>45668</v>
      </c>
      <c r="C27" t="s">
        <v>36</v>
      </c>
      <c r="D27" t="s">
        <v>12</v>
      </c>
      <c r="E27">
        <v>28</v>
      </c>
      <c r="F27" s="2" t="s">
        <v>15</v>
      </c>
      <c r="G27" s="2">
        <v>2</v>
      </c>
      <c r="H27" s="5">
        <v>500</v>
      </c>
      <c r="I27" s="5">
        <f t="shared" si="0"/>
        <v>1000</v>
      </c>
      <c r="J27" s="2" t="str">
        <f>TEXT([1]retail_sales_cleaned_dataset!B27,"mmmm")</f>
        <v>January</v>
      </c>
      <c r="K27" s="2">
        <f>MONTH([1]retail_sales_cleaned_dataset!B27)</f>
        <v>1</v>
      </c>
      <c r="L27" s="2">
        <f>YEAR([1]retail_sales_cleaned_dataset!B27)</f>
        <v>2025</v>
      </c>
      <c r="M27" s="2" t="str">
        <f t="shared" si="1"/>
        <v>26-35</v>
      </c>
    </row>
    <row r="28" spans="1:13" x14ac:dyDescent="0.25">
      <c r="A28" s="2">
        <v>27</v>
      </c>
      <c r="B28" s="1">
        <v>45670</v>
      </c>
      <c r="C28" t="s">
        <v>37</v>
      </c>
      <c r="D28" t="s">
        <v>12</v>
      </c>
      <c r="E28">
        <v>38</v>
      </c>
      <c r="F28" s="2" t="s">
        <v>10</v>
      </c>
      <c r="G28" s="2">
        <v>2</v>
      </c>
      <c r="H28" s="5">
        <v>25</v>
      </c>
      <c r="I28" s="5">
        <f t="shared" si="0"/>
        <v>50</v>
      </c>
      <c r="J28" s="2" t="str">
        <f>TEXT([1]retail_sales_cleaned_dataset!B28,"mmmm")</f>
        <v>January</v>
      </c>
      <c r="K28" s="2">
        <f>MONTH([1]retail_sales_cleaned_dataset!B28)</f>
        <v>1</v>
      </c>
      <c r="L28" s="2">
        <f>YEAR([1]retail_sales_cleaned_dataset!B28)</f>
        <v>2025</v>
      </c>
      <c r="M28" s="2" t="str">
        <f t="shared" si="1"/>
        <v>36-45</v>
      </c>
    </row>
    <row r="29" spans="1:13" x14ac:dyDescent="0.25">
      <c r="A29" s="2">
        <v>28</v>
      </c>
      <c r="B29" s="1">
        <v>45670</v>
      </c>
      <c r="C29" t="s">
        <v>38</v>
      </c>
      <c r="D29" t="s">
        <v>12</v>
      </c>
      <c r="E29">
        <v>43</v>
      </c>
      <c r="F29" s="2" t="s">
        <v>10</v>
      </c>
      <c r="G29" s="2">
        <v>1</v>
      </c>
      <c r="H29" s="5">
        <v>500</v>
      </c>
      <c r="I29" s="5">
        <f t="shared" si="0"/>
        <v>500</v>
      </c>
      <c r="J29" s="2" t="str">
        <f>TEXT([1]retail_sales_cleaned_dataset!B29,"mmmm")</f>
        <v>January</v>
      </c>
      <c r="K29" s="2">
        <f>MONTH([1]retail_sales_cleaned_dataset!B29)</f>
        <v>1</v>
      </c>
      <c r="L29" s="2">
        <f>YEAR([1]retail_sales_cleaned_dataset!B29)</f>
        <v>2025</v>
      </c>
      <c r="M29" s="2" t="str">
        <f t="shared" si="1"/>
        <v>36-45</v>
      </c>
    </row>
    <row r="30" spans="1:13" x14ac:dyDescent="0.25">
      <c r="A30" s="2">
        <v>29</v>
      </c>
      <c r="B30" s="1">
        <v>45670</v>
      </c>
      <c r="C30" t="s">
        <v>39</v>
      </c>
      <c r="D30" t="s">
        <v>12</v>
      </c>
      <c r="E30">
        <v>42</v>
      </c>
      <c r="F30" s="2" t="s">
        <v>15</v>
      </c>
      <c r="G30" s="2">
        <v>1</v>
      </c>
      <c r="H30" s="5">
        <v>30</v>
      </c>
      <c r="I30" s="5">
        <f t="shared" si="0"/>
        <v>30</v>
      </c>
      <c r="J30" s="2" t="str">
        <f>TEXT([1]retail_sales_cleaned_dataset!B30,"mmmm")</f>
        <v>January</v>
      </c>
      <c r="K30" s="2">
        <f>MONTH([1]retail_sales_cleaned_dataset!B30)</f>
        <v>1</v>
      </c>
      <c r="L30" s="2">
        <f>YEAR([1]retail_sales_cleaned_dataset!B30)</f>
        <v>2025</v>
      </c>
      <c r="M30" s="2" t="str">
        <f t="shared" si="1"/>
        <v>36-45</v>
      </c>
    </row>
    <row r="31" spans="1:13" x14ac:dyDescent="0.25">
      <c r="A31" s="2">
        <v>30</v>
      </c>
      <c r="B31" s="1">
        <v>45670</v>
      </c>
      <c r="C31" t="s">
        <v>30</v>
      </c>
      <c r="D31" t="s">
        <v>12</v>
      </c>
      <c r="E31">
        <v>39</v>
      </c>
      <c r="F31" s="2" t="s">
        <v>10</v>
      </c>
      <c r="G31" s="2">
        <v>3</v>
      </c>
      <c r="H31" s="5">
        <v>300</v>
      </c>
      <c r="I31" s="5">
        <f t="shared" si="0"/>
        <v>900</v>
      </c>
      <c r="J31" s="2" t="str">
        <f>TEXT([1]retail_sales_cleaned_dataset!B31,"mmmm")</f>
        <v>January</v>
      </c>
      <c r="K31" s="2">
        <f>MONTH([1]retail_sales_cleaned_dataset!B31)</f>
        <v>1</v>
      </c>
      <c r="L31" s="2">
        <f>YEAR([1]retail_sales_cleaned_dataset!B31)</f>
        <v>2025</v>
      </c>
      <c r="M31" s="2" t="str">
        <f t="shared" si="1"/>
        <v>36-45</v>
      </c>
    </row>
    <row r="32" spans="1:13" x14ac:dyDescent="0.25">
      <c r="A32" s="2">
        <v>31</v>
      </c>
      <c r="B32" s="1">
        <v>45671</v>
      </c>
      <c r="C32" t="s">
        <v>40</v>
      </c>
      <c r="D32" t="s">
        <v>9</v>
      </c>
      <c r="E32">
        <v>44</v>
      </c>
      <c r="F32" s="2" t="s">
        <v>15</v>
      </c>
      <c r="G32" s="2">
        <v>4</v>
      </c>
      <c r="H32" s="5">
        <v>300</v>
      </c>
      <c r="I32" s="5">
        <f t="shared" si="0"/>
        <v>1200</v>
      </c>
      <c r="J32" s="2" t="str">
        <f>TEXT([1]retail_sales_cleaned_dataset!B32,"mmmm")</f>
        <v>January</v>
      </c>
      <c r="K32" s="2">
        <f>MONTH([1]retail_sales_cleaned_dataset!B32)</f>
        <v>1</v>
      </c>
      <c r="L32" s="2">
        <f>YEAR([1]retail_sales_cleaned_dataset!B32)</f>
        <v>2025</v>
      </c>
      <c r="M32" s="2" t="str">
        <f t="shared" si="1"/>
        <v>36-45</v>
      </c>
    </row>
    <row r="33" spans="1:13" x14ac:dyDescent="0.25">
      <c r="A33" s="2">
        <v>32</v>
      </c>
      <c r="B33" s="1">
        <v>45671</v>
      </c>
      <c r="C33" t="s">
        <v>41</v>
      </c>
      <c r="D33" t="s">
        <v>9</v>
      </c>
      <c r="E33">
        <v>30</v>
      </c>
      <c r="F33" s="2" t="s">
        <v>10</v>
      </c>
      <c r="G33" s="2">
        <v>3</v>
      </c>
      <c r="H33" s="5">
        <v>30</v>
      </c>
      <c r="I33" s="5">
        <f t="shared" si="0"/>
        <v>90</v>
      </c>
      <c r="J33" s="2" t="str">
        <f>TEXT([1]retail_sales_cleaned_dataset!B33,"mmmm")</f>
        <v>January</v>
      </c>
      <c r="K33" s="2">
        <f>MONTH([1]retail_sales_cleaned_dataset!B33)</f>
        <v>1</v>
      </c>
      <c r="L33" s="2">
        <f>YEAR([1]retail_sales_cleaned_dataset!B33)</f>
        <v>2025</v>
      </c>
      <c r="M33" s="2" t="str">
        <f t="shared" si="1"/>
        <v>26-35</v>
      </c>
    </row>
    <row r="34" spans="1:13" x14ac:dyDescent="0.25">
      <c r="A34" s="2">
        <v>33</v>
      </c>
      <c r="B34" s="1">
        <v>45671</v>
      </c>
      <c r="C34" t="s">
        <v>42</v>
      </c>
      <c r="D34" t="s">
        <v>12</v>
      </c>
      <c r="E34">
        <v>50</v>
      </c>
      <c r="F34" s="2" t="s">
        <v>15</v>
      </c>
      <c r="G34" s="2">
        <v>2</v>
      </c>
      <c r="H34" s="5">
        <v>50</v>
      </c>
      <c r="I34" s="5">
        <f t="shared" si="0"/>
        <v>100</v>
      </c>
      <c r="J34" s="2" t="str">
        <f>TEXT([1]retail_sales_cleaned_dataset!B34,"mmmm")</f>
        <v>January</v>
      </c>
      <c r="K34" s="2">
        <f>MONTH([1]retail_sales_cleaned_dataset!B34)</f>
        <v>1</v>
      </c>
      <c r="L34" s="2">
        <f>YEAR([1]retail_sales_cleaned_dataset!B34)</f>
        <v>2025</v>
      </c>
      <c r="M34" s="2" t="str">
        <f t="shared" si="1"/>
        <v>46+</v>
      </c>
    </row>
    <row r="35" spans="1:13" x14ac:dyDescent="0.25">
      <c r="A35" s="2">
        <v>34</v>
      </c>
      <c r="B35" s="1">
        <v>45671</v>
      </c>
      <c r="C35" t="s">
        <v>43</v>
      </c>
      <c r="D35" t="s">
        <v>12</v>
      </c>
      <c r="E35">
        <v>51</v>
      </c>
      <c r="F35" s="2" t="s">
        <v>13</v>
      </c>
      <c r="G35" s="2">
        <v>3</v>
      </c>
      <c r="H35" s="5">
        <v>50</v>
      </c>
      <c r="I35" s="5">
        <f t="shared" si="0"/>
        <v>150</v>
      </c>
      <c r="J35" s="2" t="str">
        <f>TEXT([1]retail_sales_cleaned_dataset!B35,"mmmm")</f>
        <v>January</v>
      </c>
      <c r="K35" s="2">
        <f>MONTH([1]retail_sales_cleaned_dataset!B35)</f>
        <v>1</v>
      </c>
      <c r="L35" s="2">
        <f>YEAR([1]retail_sales_cleaned_dataset!B35)</f>
        <v>2025</v>
      </c>
      <c r="M35" s="2" t="str">
        <f t="shared" si="1"/>
        <v>46+</v>
      </c>
    </row>
    <row r="36" spans="1:13" x14ac:dyDescent="0.25">
      <c r="A36" s="2">
        <v>35</v>
      </c>
      <c r="B36" s="1">
        <v>45672</v>
      </c>
      <c r="C36" t="s">
        <v>20</v>
      </c>
      <c r="D36" t="s">
        <v>12</v>
      </c>
      <c r="E36">
        <v>58</v>
      </c>
      <c r="F36" s="2" t="s">
        <v>10</v>
      </c>
      <c r="G36" s="2">
        <v>3</v>
      </c>
      <c r="H36" s="5">
        <v>300</v>
      </c>
      <c r="I36" s="5">
        <f t="shared" si="0"/>
        <v>900</v>
      </c>
      <c r="J36" s="2" t="str">
        <f>TEXT([1]retail_sales_cleaned_dataset!B36,"mmmm")</f>
        <v>January</v>
      </c>
      <c r="K36" s="2">
        <f>MONTH([1]retail_sales_cleaned_dataset!B36)</f>
        <v>1</v>
      </c>
      <c r="L36" s="2">
        <f>YEAR([1]retail_sales_cleaned_dataset!B36)</f>
        <v>2025</v>
      </c>
      <c r="M36" s="2" t="str">
        <f t="shared" si="1"/>
        <v>46+</v>
      </c>
    </row>
    <row r="37" spans="1:13" x14ac:dyDescent="0.25">
      <c r="A37" s="2">
        <v>36</v>
      </c>
      <c r="B37" s="1">
        <v>45672</v>
      </c>
      <c r="C37" t="s">
        <v>44</v>
      </c>
      <c r="D37" t="s">
        <v>9</v>
      </c>
      <c r="E37">
        <v>52</v>
      </c>
      <c r="F37" s="2" t="s">
        <v>10</v>
      </c>
      <c r="G37" s="2">
        <v>3</v>
      </c>
      <c r="H37" s="5">
        <v>300</v>
      </c>
      <c r="I37" s="5">
        <f t="shared" si="0"/>
        <v>900</v>
      </c>
      <c r="J37" s="2" t="str">
        <f>TEXT([1]retail_sales_cleaned_dataset!B37,"mmmm")</f>
        <v>January</v>
      </c>
      <c r="K37" s="2">
        <f>MONTH([1]retail_sales_cleaned_dataset!B37)</f>
        <v>1</v>
      </c>
      <c r="L37" s="2">
        <f>YEAR([1]retail_sales_cleaned_dataset!B37)</f>
        <v>2025</v>
      </c>
      <c r="M37" s="2" t="str">
        <f t="shared" si="1"/>
        <v>46+</v>
      </c>
    </row>
    <row r="38" spans="1:13" x14ac:dyDescent="0.25">
      <c r="A38" s="2">
        <v>37</v>
      </c>
      <c r="B38" s="1">
        <v>45672</v>
      </c>
      <c r="C38" t="s">
        <v>21</v>
      </c>
      <c r="D38" t="s">
        <v>12</v>
      </c>
      <c r="E38">
        <v>18</v>
      </c>
      <c r="F38" s="2" t="s">
        <v>10</v>
      </c>
      <c r="G38" s="2">
        <v>3</v>
      </c>
      <c r="H38" s="5">
        <v>25</v>
      </c>
      <c r="I38" s="5">
        <f t="shared" si="0"/>
        <v>75</v>
      </c>
      <c r="J38" s="2" t="str">
        <f>TEXT([1]retail_sales_cleaned_dataset!B38,"mmmm")</f>
        <v>January</v>
      </c>
      <c r="K38" s="2">
        <f>MONTH([1]retail_sales_cleaned_dataset!B38)</f>
        <v>1</v>
      </c>
      <c r="L38" s="2">
        <f>YEAR([1]retail_sales_cleaned_dataset!B38)</f>
        <v>2025</v>
      </c>
      <c r="M38" s="2" t="str">
        <f t="shared" si="1"/>
        <v>18-25</v>
      </c>
    </row>
    <row r="39" spans="1:13" x14ac:dyDescent="0.25">
      <c r="A39" s="2">
        <v>38</v>
      </c>
      <c r="B39" s="1">
        <v>45673</v>
      </c>
      <c r="C39" t="s">
        <v>45</v>
      </c>
      <c r="D39" t="s">
        <v>9</v>
      </c>
      <c r="E39">
        <v>38</v>
      </c>
      <c r="F39" s="2" t="s">
        <v>10</v>
      </c>
      <c r="G39" s="2">
        <v>4</v>
      </c>
      <c r="H39" s="5">
        <v>50</v>
      </c>
      <c r="I39" s="5">
        <f t="shared" si="0"/>
        <v>200</v>
      </c>
      <c r="J39" s="2" t="str">
        <f>TEXT([1]retail_sales_cleaned_dataset!B39,"mmmm")</f>
        <v>January</v>
      </c>
      <c r="K39" s="2">
        <f>MONTH([1]retail_sales_cleaned_dataset!B39)</f>
        <v>1</v>
      </c>
      <c r="L39" s="2">
        <f>YEAR([1]retail_sales_cleaned_dataset!B39)</f>
        <v>2025</v>
      </c>
      <c r="M39" s="2" t="str">
        <f t="shared" si="1"/>
        <v>36-45</v>
      </c>
    </row>
    <row r="40" spans="1:13" x14ac:dyDescent="0.25">
      <c r="A40" s="2">
        <v>39</v>
      </c>
      <c r="B40" s="1">
        <v>45673</v>
      </c>
      <c r="C40" t="s">
        <v>25</v>
      </c>
      <c r="D40" t="s">
        <v>9</v>
      </c>
      <c r="E40">
        <v>23</v>
      </c>
      <c r="F40" s="2" t="s">
        <v>13</v>
      </c>
      <c r="G40" s="2">
        <v>4</v>
      </c>
      <c r="H40" s="5">
        <v>30</v>
      </c>
      <c r="I40" s="5">
        <f t="shared" si="0"/>
        <v>120</v>
      </c>
      <c r="J40" s="2" t="str">
        <f>TEXT([1]retail_sales_cleaned_dataset!B40,"mmmm")</f>
        <v>January</v>
      </c>
      <c r="K40" s="2">
        <f>MONTH([1]retail_sales_cleaned_dataset!B40)</f>
        <v>1</v>
      </c>
      <c r="L40" s="2">
        <f>YEAR([1]retail_sales_cleaned_dataset!B40)</f>
        <v>2025</v>
      </c>
      <c r="M40" s="2" t="str">
        <f t="shared" si="1"/>
        <v>18-25</v>
      </c>
    </row>
    <row r="41" spans="1:13" x14ac:dyDescent="0.25">
      <c r="A41" s="2">
        <v>40</v>
      </c>
      <c r="B41" s="1">
        <v>45674</v>
      </c>
      <c r="C41" t="s">
        <v>46</v>
      </c>
      <c r="D41" t="s">
        <v>9</v>
      </c>
      <c r="E41">
        <v>45</v>
      </c>
      <c r="F41" s="2" t="s">
        <v>10</v>
      </c>
      <c r="G41" s="2">
        <v>1</v>
      </c>
      <c r="H41" s="5">
        <v>50</v>
      </c>
      <c r="I41" s="5">
        <f t="shared" si="0"/>
        <v>50</v>
      </c>
      <c r="J41" s="2" t="str">
        <f>TEXT([1]retail_sales_cleaned_dataset!B41,"mmmm")</f>
        <v>January</v>
      </c>
      <c r="K41" s="2">
        <f>MONTH([1]retail_sales_cleaned_dataset!B41)</f>
        <v>1</v>
      </c>
      <c r="L41" s="2">
        <f>YEAR([1]retail_sales_cleaned_dataset!B41)</f>
        <v>2025</v>
      </c>
      <c r="M41" s="2" t="str">
        <f t="shared" si="1"/>
        <v>36-45</v>
      </c>
    </row>
    <row r="42" spans="1:13" x14ac:dyDescent="0.25">
      <c r="A42" s="2">
        <v>41</v>
      </c>
      <c r="B42" s="1">
        <v>45674</v>
      </c>
      <c r="C42" t="s">
        <v>27</v>
      </c>
      <c r="D42" t="s">
        <v>9</v>
      </c>
      <c r="E42">
        <v>34</v>
      </c>
      <c r="F42" s="2" t="s">
        <v>13</v>
      </c>
      <c r="G42" s="2">
        <v>2</v>
      </c>
      <c r="H42" s="5">
        <v>25</v>
      </c>
      <c r="I42" s="5">
        <f t="shared" si="0"/>
        <v>50</v>
      </c>
      <c r="J42" s="2" t="str">
        <f>TEXT([1]retail_sales_cleaned_dataset!B42,"mmmm")</f>
        <v>January</v>
      </c>
      <c r="K42" s="2">
        <f>MONTH([1]retail_sales_cleaned_dataset!B42)</f>
        <v>1</v>
      </c>
      <c r="L42" s="2">
        <f>YEAR([1]retail_sales_cleaned_dataset!B42)</f>
        <v>2025</v>
      </c>
      <c r="M42" s="2" t="str">
        <f t="shared" si="1"/>
        <v>26-35</v>
      </c>
    </row>
    <row r="43" spans="1:13" x14ac:dyDescent="0.25">
      <c r="A43" s="2">
        <v>42</v>
      </c>
      <c r="B43" s="1">
        <v>45674</v>
      </c>
      <c r="C43" t="s">
        <v>47</v>
      </c>
      <c r="D43" t="s">
        <v>9</v>
      </c>
      <c r="E43">
        <v>22</v>
      </c>
      <c r="F43" s="2" t="s">
        <v>13</v>
      </c>
      <c r="G43" s="2">
        <v>3</v>
      </c>
      <c r="H43" s="5">
        <v>300</v>
      </c>
      <c r="I43" s="5">
        <f t="shared" si="0"/>
        <v>900</v>
      </c>
      <c r="J43" s="2" t="str">
        <f>TEXT([1]retail_sales_cleaned_dataset!B43,"mmmm")</f>
        <v>January</v>
      </c>
      <c r="K43" s="2">
        <f>MONTH([1]retail_sales_cleaned_dataset!B43)</f>
        <v>1</v>
      </c>
      <c r="L43" s="2">
        <f>YEAR([1]retail_sales_cleaned_dataset!B43)</f>
        <v>2025</v>
      </c>
      <c r="M43" s="2" t="str">
        <f t="shared" si="1"/>
        <v>18-25</v>
      </c>
    </row>
    <row r="44" spans="1:13" x14ac:dyDescent="0.25">
      <c r="A44" s="2">
        <v>43</v>
      </c>
      <c r="B44" s="1">
        <v>45674</v>
      </c>
      <c r="C44" t="s">
        <v>30</v>
      </c>
      <c r="D44" t="s">
        <v>12</v>
      </c>
      <c r="E44">
        <v>48</v>
      </c>
      <c r="F44" s="2" t="s">
        <v>13</v>
      </c>
      <c r="G44" s="2">
        <v>1</v>
      </c>
      <c r="H44" s="5">
        <v>300</v>
      </c>
      <c r="I44" s="5">
        <f t="shared" si="0"/>
        <v>300</v>
      </c>
      <c r="J44" s="2" t="str">
        <f>TEXT([1]retail_sales_cleaned_dataset!B44,"mmmm")</f>
        <v>January</v>
      </c>
      <c r="K44" s="2">
        <f>MONTH([1]retail_sales_cleaned_dataset!B44)</f>
        <v>1</v>
      </c>
      <c r="L44" s="2">
        <f>YEAR([1]retail_sales_cleaned_dataset!B44)</f>
        <v>2025</v>
      </c>
      <c r="M44" s="2" t="str">
        <f t="shared" si="1"/>
        <v>46+</v>
      </c>
    </row>
    <row r="45" spans="1:13" x14ac:dyDescent="0.25">
      <c r="A45" s="2">
        <v>44</v>
      </c>
      <c r="B45" s="1">
        <v>45676</v>
      </c>
      <c r="C45" t="s">
        <v>48</v>
      </c>
      <c r="D45" t="s">
        <v>12</v>
      </c>
      <c r="E45">
        <v>22</v>
      </c>
      <c r="F45" s="2" t="s">
        <v>13</v>
      </c>
      <c r="G45" s="2">
        <v>1</v>
      </c>
      <c r="H45" s="5">
        <v>25</v>
      </c>
      <c r="I45" s="5">
        <f t="shared" si="0"/>
        <v>25</v>
      </c>
      <c r="J45" s="2" t="str">
        <f>TEXT([1]retail_sales_cleaned_dataset!B45,"mmmm")</f>
        <v>January</v>
      </c>
      <c r="K45" s="2">
        <f>MONTH([1]retail_sales_cleaned_dataset!B45)</f>
        <v>1</v>
      </c>
      <c r="L45" s="2">
        <f>YEAR([1]retail_sales_cleaned_dataset!B45)</f>
        <v>2025</v>
      </c>
      <c r="M45" s="2" t="str">
        <f t="shared" si="1"/>
        <v>18-25</v>
      </c>
    </row>
    <row r="46" spans="1:13" x14ac:dyDescent="0.25">
      <c r="A46" s="2">
        <v>45</v>
      </c>
      <c r="B46" s="1">
        <v>45677</v>
      </c>
      <c r="C46" t="s">
        <v>38</v>
      </c>
      <c r="D46" t="s">
        <v>12</v>
      </c>
      <c r="E46">
        <v>55</v>
      </c>
      <c r="F46" s="2" t="s">
        <v>15</v>
      </c>
      <c r="G46" s="2">
        <v>1</v>
      </c>
      <c r="H46" s="5">
        <v>30</v>
      </c>
      <c r="I46" s="5">
        <f t="shared" si="0"/>
        <v>30</v>
      </c>
      <c r="J46" s="2" t="str">
        <f>TEXT([1]retail_sales_cleaned_dataset!B46,"mmmm")</f>
        <v>January</v>
      </c>
      <c r="K46" s="2">
        <f>MONTH([1]retail_sales_cleaned_dataset!B46)</f>
        <v>1</v>
      </c>
      <c r="L46" s="2">
        <f>YEAR([1]retail_sales_cleaned_dataset!B46)</f>
        <v>2025</v>
      </c>
      <c r="M46" s="2" t="str">
        <f t="shared" si="1"/>
        <v>46+</v>
      </c>
    </row>
    <row r="47" spans="1:13" x14ac:dyDescent="0.25">
      <c r="A47" s="2">
        <v>46</v>
      </c>
      <c r="B47" s="1">
        <v>45677</v>
      </c>
      <c r="C47" t="s">
        <v>49</v>
      </c>
      <c r="D47" t="s">
        <v>12</v>
      </c>
      <c r="E47">
        <v>20</v>
      </c>
      <c r="F47" s="2" t="s">
        <v>15</v>
      </c>
      <c r="G47" s="2">
        <v>4</v>
      </c>
      <c r="H47" s="5">
        <v>300</v>
      </c>
      <c r="I47" s="5">
        <f t="shared" si="0"/>
        <v>1200</v>
      </c>
      <c r="J47" s="2" t="str">
        <f>TEXT([1]retail_sales_cleaned_dataset!B47,"mmmm")</f>
        <v>January</v>
      </c>
      <c r="K47" s="2">
        <f>MONTH([1]retail_sales_cleaned_dataset!B47)</f>
        <v>1</v>
      </c>
      <c r="L47" s="2">
        <f>YEAR([1]retail_sales_cleaned_dataset!B47)</f>
        <v>2025</v>
      </c>
      <c r="M47" s="2" t="str">
        <f t="shared" si="1"/>
        <v>18-25</v>
      </c>
    </row>
    <row r="48" spans="1:13" x14ac:dyDescent="0.25">
      <c r="A48" s="2">
        <v>47</v>
      </c>
      <c r="B48" s="1">
        <v>45678</v>
      </c>
      <c r="C48" t="s">
        <v>41</v>
      </c>
      <c r="D48" t="s">
        <v>12</v>
      </c>
      <c r="E48">
        <v>40</v>
      </c>
      <c r="F48" s="2" t="s">
        <v>10</v>
      </c>
      <c r="G48" s="2">
        <v>3</v>
      </c>
      <c r="H48" s="5">
        <v>500</v>
      </c>
      <c r="I48" s="5">
        <f t="shared" si="0"/>
        <v>1500</v>
      </c>
      <c r="J48" s="2" t="str">
        <f>TEXT([1]retail_sales_cleaned_dataset!B48,"mmmm")</f>
        <v>January</v>
      </c>
      <c r="K48" s="2">
        <f>MONTH([1]retail_sales_cleaned_dataset!B48)</f>
        <v>1</v>
      </c>
      <c r="L48" s="2">
        <f>YEAR([1]retail_sales_cleaned_dataset!B48)</f>
        <v>2025</v>
      </c>
      <c r="M48" s="2" t="str">
        <f t="shared" si="1"/>
        <v>36-45</v>
      </c>
    </row>
    <row r="49" spans="1:13" x14ac:dyDescent="0.25">
      <c r="A49" s="2">
        <v>48</v>
      </c>
      <c r="B49" s="1">
        <v>45678</v>
      </c>
      <c r="C49" t="s">
        <v>50</v>
      </c>
      <c r="D49" t="s">
        <v>9</v>
      </c>
      <c r="E49">
        <v>54</v>
      </c>
      <c r="F49" s="2" t="s">
        <v>15</v>
      </c>
      <c r="G49" s="2">
        <v>3</v>
      </c>
      <c r="H49" s="5">
        <v>300</v>
      </c>
      <c r="I49" s="5">
        <f t="shared" si="0"/>
        <v>900</v>
      </c>
      <c r="J49" s="2" t="str">
        <f>TEXT([1]retail_sales_cleaned_dataset!B49,"mmmm")</f>
        <v>January</v>
      </c>
      <c r="K49" s="2">
        <f>MONTH([1]retail_sales_cleaned_dataset!B49)</f>
        <v>1</v>
      </c>
      <c r="L49" s="2">
        <f>YEAR([1]retail_sales_cleaned_dataset!B49)</f>
        <v>2025</v>
      </c>
      <c r="M49" s="2" t="str">
        <f t="shared" si="1"/>
        <v>46+</v>
      </c>
    </row>
    <row r="50" spans="1:13" x14ac:dyDescent="0.25">
      <c r="A50" s="2">
        <v>49</v>
      </c>
      <c r="B50" s="1">
        <v>45678</v>
      </c>
      <c r="C50" t="s">
        <v>51</v>
      </c>
      <c r="D50" t="s">
        <v>12</v>
      </c>
      <c r="E50">
        <v>54</v>
      </c>
      <c r="F50" s="2" t="s">
        <v>15</v>
      </c>
      <c r="G50" s="2">
        <v>2</v>
      </c>
      <c r="H50" s="5">
        <v>500</v>
      </c>
      <c r="I50" s="5">
        <f t="shared" si="0"/>
        <v>1000</v>
      </c>
      <c r="J50" s="2" t="str">
        <f>TEXT([1]retail_sales_cleaned_dataset!B50,"mmmm")</f>
        <v>January</v>
      </c>
      <c r="K50" s="2">
        <f>MONTH([1]retail_sales_cleaned_dataset!B50)</f>
        <v>1</v>
      </c>
      <c r="L50" s="2">
        <f>YEAR([1]retail_sales_cleaned_dataset!B50)</f>
        <v>2025</v>
      </c>
      <c r="M50" s="2" t="str">
        <f t="shared" si="1"/>
        <v>46+</v>
      </c>
    </row>
    <row r="51" spans="1:13" x14ac:dyDescent="0.25">
      <c r="A51" s="2">
        <v>50</v>
      </c>
      <c r="B51" s="1">
        <v>45679</v>
      </c>
      <c r="C51" t="s">
        <v>52</v>
      </c>
      <c r="D51" t="s">
        <v>12</v>
      </c>
      <c r="E51">
        <v>27</v>
      </c>
      <c r="F51" s="2" t="s">
        <v>10</v>
      </c>
      <c r="G51" s="2">
        <v>3</v>
      </c>
      <c r="H51" s="5">
        <v>25</v>
      </c>
      <c r="I51" s="5">
        <f t="shared" si="0"/>
        <v>75</v>
      </c>
      <c r="J51" s="2" t="str">
        <f>TEXT([1]retail_sales_cleaned_dataset!B51,"mmmm")</f>
        <v>January</v>
      </c>
      <c r="K51" s="2">
        <f>MONTH([1]retail_sales_cleaned_dataset!B51)</f>
        <v>1</v>
      </c>
      <c r="L51" s="2">
        <f>YEAR([1]retail_sales_cleaned_dataset!B51)</f>
        <v>2025</v>
      </c>
      <c r="M51" s="2" t="str">
        <f t="shared" si="1"/>
        <v>26-35</v>
      </c>
    </row>
    <row r="52" spans="1:13" x14ac:dyDescent="0.25">
      <c r="A52" s="2">
        <v>51</v>
      </c>
      <c r="B52" s="1">
        <v>45679</v>
      </c>
      <c r="C52" t="s">
        <v>53</v>
      </c>
      <c r="D52" t="s">
        <v>9</v>
      </c>
      <c r="E52">
        <v>27</v>
      </c>
      <c r="F52" s="2" t="s">
        <v>10</v>
      </c>
      <c r="G52" s="2">
        <v>3</v>
      </c>
      <c r="H52" s="5">
        <v>25</v>
      </c>
      <c r="I52" s="5">
        <f t="shared" si="0"/>
        <v>75</v>
      </c>
      <c r="J52" s="2" t="str">
        <f>TEXT([1]retail_sales_cleaned_dataset!B52,"mmmm")</f>
        <v>January</v>
      </c>
      <c r="K52" s="2">
        <f>MONTH([1]retail_sales_cleaned_dataset!B52)</f>
        <v>1</v>
      </c>
      <c r="L52" s="2">
        <f>YEAR([1]retail_sales_cleaned_dataset!B52)</f>
        <v>2025</v>
      </c>
      <c r="M52" s="2" t="str">
        <f t="shared" si="1"/>
        <v>26-35</v>
      </c>
    </row>
    <row r="53" spans="1:13" x14ac:dyDescent="0.25">
      <c r="A53" s="2">
        <v>52</v>
      </c>
      <c r="B53" s="1">
        <v>45680</v>
      </c>
      <c r="C53" t="s">
        <v>27</v>
      </c>
      <c r="D53" t="s">
        <v>12</v>
      </c>
      <c r="E53">
        <v>36</v>
      </c>
      <c r="F53" s="2" t="s">
        <v>10</v>
      </c>
      <c r="G53" s="2">
        <v>1</v>
      </c>
      <c r="H53" s="5">
        <v>300</v>
      </c>
      <c r="I53" s="5">
        <f t="shared" si="0"/>
        <v>300</v>
      </c>
      <c r="J53" s="2" t="str">
        <f>TEXT([1]retail_sales_cleaned_dataset!B53,"mmmm")</f>
        <v>January</v>
      </c>
      <c r="K53" s="2">
        <f>MONTH([1]retail_sales_cleaned_dataset!B53)</f>
        <v>1</v>
      </c>
      <c r="L53" s="2">
        <f>YEAR([1]retail_sales_cleaned_dataset!B53)</f>
        <v>2025</v>
      </c>
      <c r="M53" s="2" t="str">
        <f t="shared" si="1"/>
        <v>36-45</v>
      </c>
    </row>
    <row r="54" spans="1:13" x14ac:dyDescent="0.25">
      <c r="A54" s="2">
        <v>53</v>
      </c>
      <c r="B54" s="1">
        <v>45680</v>
      </c>
      <c r="C54" t="s">
        <v>54</v>
      </c>
      <c r="D54" t="s">
        <v>9</v>
      </c>
      <c r="E54">
        <v>34</v>
      </c>
      <c r="F54" s="2" t="s">
        <v>15</v>
      </c>
      <c r="G54" s="2">
        <v>2</v>
      </c>
      <c r="H54" s="5">
        <v>50</v>
      </c>
      <c r="I54" s="5">
        <f t="shared" si="0"/>
        <v>100</v>
      </c>
      <c r="J54" s="2" t="str">
        <f>TEXT([1]retail_sales_cleaned_dataset!B54,"mmmm")</f>
        <v>January</v>
      </c>
      <c r="K54" s="2">
        <f>MONTH([1]retail_sales_cleaned_dataset!B54)</f>
        <v>1</v>
      </c>
      <c r="L54" s="2">
        <f>YEAR([1]retail_sales_cleaned_dataset!B54)</f>
        <v>2025</v>
      </c>
      <c r="M54" s="2" t="str">
        <f t="shared" si="1"/>
        <v>26-35</v>
      </c>
    </row>
    <row r="55" spans="1:13" x14ac:dyDescent="0.25">
      <c r="A55" s="2">
        <v>54</v>
      </c>
      <c r="B55" s="1">
        <v>45680</v>
      </c>
      <c r="C55" t="s">
        <v>30</v>
      </c>
      <c r="D55" t="s">
        <v>12</v>
      </c>
      <c r="E55">
        <v>38</v>
      </c>
      <c r="F55" s="2" t="s">
        <v>15</v>
      </c>
      <c r="G55" s="2">
        <v>3</v>
      </c>
      <c r="H55" s="5">
        <v>500</v>
      </c>
      <c r="I55" s="5">
        <f t="shared" si="0"/>
        <v>1500</v>
      </c>
      <c r="J55" s="2" t="str">
        <f>TEXT([1]retail_sales_cleaned_dataset!B55,"mmmm")</f>
        <v>January</v>
      </c>
      <c r="K55" s="2">
        <f>MONTH([1]retail_sales_cleaned_dataset!B55)</f>
        <v>1</v>
      </c>
      <c r="L55" s="2">
        <f>YEAR([1]retail_sales_cleaned_dataset!B55)</f>
        <v>2025</v>
      </c>
      <c r="M55" s="2" t="str">
        <f t="shared" si="1"/>
        <v>36-45</v>
      </c>
    </row>
    <row r="56" spans="1:13" x14ac:dyDescent="0.25">
      <c r="A56" s="2">
        <v>55</v>
      </c>
      <c r="B56" s="1">
        <v>45681</v>
      </c>
      <c r="C56" t="s">
        <v>55</v>
      </c>
      <c r="D56" t="s">
        <v>9</v>
      </c>
      <c r="E56">
        <v>31</v>
      </c>
      <c r="F56" s="2" t="s">
        <v>10</v>
      </c>
      <c r="G56" s="2">
        <v>4</v>
      </c>
      <c r="H56" s="5">
        <v>30</v>
      </c>
      <c r="I56" s="5">
        <f t="shared" si="0"/>
        <v>120</v>
      </c>
      <c r="J56" s="2" t="str">
        <f>TEXT([1]retail_sales_cleaned_dataset!B56,"mmmm")</f>
        <v>January</v>
      </c>
      <c r="K56" s="2">
        <f>MONTH([1]retail_sales_cleaned_dataset!B56)</f>
        <v>1</v>
      </c>
      <c r="L56" s="2">
        <f>YEAR([1]retail_sales_cleaned_dataset!B56)</f>
        <v>2025</v>
      </c>
      <c r="M56" s="2" t="str">
        <f t="shared" si="1"/>
        <v>26-35</v>
      </c>
    </row>
    <row r="57" spans="1:13" x14ac:dyDescent="0.25">
      <c r="A57" s="2">
        <v>56</v>
      </c>
      <c r="B57" s="1">
        <v>45681</v>
      </c>
      <c r="C57" t="s">
        <v>38</v>
      </c>
      <c r="D57" t="s">
        <v>12</v>
      </c>
      <c r="E57">
        <v>26</v>
      </c>
      <c r="F57" s="2" t="s">
        <v>13</v>
      </c>
      <c r="G57" s="2">
        <v>3</v>
      </c>
      <c r="H57" s="5">
        <v>300</v>
      </c>
      <c r="I57" s="5">
        <f t="shared" si="0"/>
        <v>900</v>
      </c>
      <c r="J57" s="2" t="str">
        <f>TEXT([1]retail_sales_cleaned_dataset!B57,"mmmm")</f>
        <v>January</v>
      </c>
      <c r="K57" s="2">
        <f>MONTH([1]retail_sales_cleaned_dataset!B57)</f>
        <v>1</v>
      </c>
      <c r="L57" s="2">
        <f>YEAR([1]retail_sales_cleaned_dataset!B57)</f>
        <v>2025</v>
      </c>
      <c r="M57" s="2" t="str">
        <f t="shared" si="1"/>
        <v>26-35</v>
      </c>
    </row>
    <row r="58" spans="1:13" x14ac:dyDescent="0.25">
      <c r="A58" s="2">
        <v>57</v>
      </c>
      <c r="B58" s="1">
        <v>45681</v>
      </c>
      <c r="C58" t="s">
        <v>56</v>
      </c>
      <c r="D58" t="s">
        <v>12</v>
      </c>
      <c r="E58">
        <v>63</v>
      </c>
      <c r="F58" s="2" t="s">
        <v>10</v>
      </c>
      <c r="G58" s="2">
        <v>1</v>
      </c>
      <c r="H58" s="5">
        <v>30</v>
      </c>
      <c r="I58" s="5">
        <f t="shared" si="0"/>
        <v>30</v>
      </c>
      <c r="J58" s="2" t="str">
        <f>TEXT([1]retail_sales_cleaned_dataset!B58,"mmmm")</f>
        <v>January</v>
      </c>
      <c r="K58" s="2">
        <f>MONTH([1]retail_sales_cleaned_dataset!B58)</f>
        <v>1</v>
      </c>
      <c r="L58" s="2">
        <f>YEAR([1]retail_sales_cleaned_dataset!B58)</f>
        <v>2025</v>
      </c>
      <c r="M58" s="2" t="str">
        <f t="shared" si="1"/>
        <v>46+</v>
      </c>
    </row>
    <row r="59" spans="1:13" x14ac:dyDescent="0.25">
      <c r="A59" s="2">
        <v>58</v>
      </c>
      <c r="B59" s="1">
        <v>45682</v>
      </c>
      <c r="C59" t="s">
        <v>41</v>
      </c>
      <c r="D59" t="s">
        <v>9</v>
      </c>
      <c r="E59">
        <v>18</v>
      </c>
      <c r="F59" s="2" t="s">
        <v>13</v>
      </c>
      <c r="G59" s="2">
        <v>4</v>
      </c>
      <c r="H59" s="5">
        <v>300</v>
      </c>
      <c r="I59" s="5">
        <f t="shared" si="0"/>
        <v>1200</v>
      </c>
      <c r="J59" s="2" t="str">
        <f>TEXT([1]retail_sales_cleaned_dataset!B59,"mmmm")</f>
        <v>January</v>
      </c>
      <c r="K59" s="2">
        <f>MONTH([1]retail_sales_cleaned_dataset!B59)</f>
        <v>1</v>
      </c>
      <c r="L59" s="2">
        <f>YEAR([1]retail_sales_cleaned_dataset!B59)</f>
        <v>2025</v>
      </c>
      <c r="M59" s="2" t="str">
        <f t="shared" si="1"/>
        <v>18-25</v>
      </c>
    </row>
    <row r="60" spans="1:13" x14ac:dyDescent="0.25">
      <c r="A60" s="2">
        <v>59</v>
      </c>
      <c r="B60" s="1">
        <v>45683</v>
      </c>
      <c r="C60" t="s">
        <v>57</v>
      </c>
      <c r="D60" t="s">
        <v>9</v>
      </c>
      <c r="E60">
        <v>62</v>
      </c>
      <c r="F60" s="2" t="s">
        <v>13</v>
      </c>
      <c r="G60" s="2">
        <v>1</v>
      </c>
      <c r="H60" s="5">
        <v>50</v>
      </c>
      <c r="I60" s="5">
        <f t="shared" si="0"/>
        <v>50</v>
      </c>
      <c r="J60" s="2" t="str">
        <f>TEXT([1]retail_sales_cleaned_dataset!B60,"mmmm")</f>
        <v>January</v>
      </c>
      <c r="K60" s="2">
        <f>MONTH([1]retail_sales_cleaned_dataset!B60)</f>
        <v>1</v>
      </c>
      <c r="L60" s="2">
        <f>YEAR([1]retail_sales_cleaned_dataset!B60)</f>
        <v>2025</v>
      </c>
      <c r="M60" s="2" t="str">
        <f t="shared" si="1"/>
        <v>46+</v>
      </c>
    </row>
    <row r="61" spans="1:13" x14ac:dyDescent="0.25">
      <c r="A61" s="2">
        <v>60</v>
      </c>
      <c r="B61" s="1">
        <v>45683</v>
      </c>
      <c r="C61" t="s">
        <v>43</v>
      </c>
      <c r="D61" t="s">
        <v>9</v>
      </c>
      <c r="E61">
        <v>30</v>
      </c>
      <c r="F61" s="2" t="s">
        <v>10</v>
      </c>
      <c r="G61" s="2">
        <v>3</v>
      </c>
      <c r="H61" s="5">
        <v>50</v>
      </c>
      <c r="I61" s="5">
        <f t="shared" si="0"/>
        <v>150</v>
      </c>
      <c r="J61" s="2" t="str">
        <f>TEXT([1]retail_sales_cleaned_dataset!B61,"mmmm")</f>
        <v>January</v>
      </c>
      <c r="K61" s="2">
        <f>MONTH([1]retail_sales_cleaned_dataset!B61)</f>
        <v>1</v>
      </c>
      <c r="L61" s="2">
        <f>YEAR([1]retail_sales_cleaned_dataset!B61)</f>
        <v>2025</v>
      </c>
      <c r="M61" s="2" t="str">
        <f t="shared" si="1"/>
        <v>26-35</v>
      </c>
    </row>
    <row r="62" spans="1:13" x14ac:dyDescent="0.25">
      <c r="A62" s="2">
        <v>61</v>
      </c>
      <c r="B62" s="1">
        <v>45683</v>
      </c>
      <c r="C62" t="s">
        <v>58</v>
      </c>
      <c r="D62" t="s">
        <v>9</v>
      </c>
      <c r="E62">
        <v>21</v>
      </c>
      <c r="F62" s="2" t="s">
        <v>10</v>
      </c>
      <c r="G62" s="2">
        <v>4</v>
      </c>
      <c r="H62" s="5">
        <v>50</v>
      </c>
      <c r="I62" s="5">
        <f t="shared" si="0"/>
        <v>200</v>
      </c>
      <c r="J62" s="2" t="str">
        <f>TEXT([1]retail_sales_cleaned_dataset!B62,"mmmm")</f>
        <v>January</v>
      </c>
      <c r="K62" s="2">
        <f>MONTH([1]retail_sales_cleaned_dataset!B62)</f>
        <v>1</v>
      </c>
      <c r="L62" s="2">
        <f>YEAR([1]retail_sales_cleaned_dataset!B62)</f>
        <v>2025</v>
      </c>
      <c r="M62" s="2" t="str">
        <f t="shared" si="1"/>
        <v>18-25</v>
      </c>
    </row>
    <row r="63" spans="1:13" x14ac:dyDescent="0.25">
      <c r="A63" s="2">
        <v>62</v>
      </c>
      <c r="B63" s="1">
        <v>45683</v>
      </c>
      <c r="C63" t="s">
        <v>45</v>
      </c>
      <c r="D63" t="s">
        <v>9</v>
      </c>
      <c r="E63">
        <v>18</v>
      </c>
      <c r="F63" s="2" t="s">
        <v>10</v>
      </c>
      <c r="G63" s="2">
        <v>2</v>
      </c>
      <c r="H63" s="5">
        <v>50</v>
      </c>
      <c r="I63" s="5">
        <f t="shared" si="0"/>
        <v>100</v>
      </c>
      <c r="J63" s="2" t="str">
        <f>TEXT([1]retail_sales_cleaned_dataset!B63,"mmmm")</f>
        <v>January</v>
      </c>
      <c r="K63" s="2">
        <f>MONTH([1]retail_sales_cleaned_dataset!B63)</f>
        <v>1</v>
      </c>
      <c r="L63" s="2">
        <f>YEAR([1]retail_sales_cleaned_dataset!B63)</f>
        <v>2025</v>
      </c>
      <c r="M63" s="2" t="str">
        <f t="shared" si="1"/>
        <v>18-25</v>
      </c>
    </row>
    <row r="64" spans="1:13" x14ac:dyDescent="0.25">
      <c r="A64" s="2">
        <v>63</v>
      </c>
      <c r="B64" s="1">
        <v>45684</v>
      </c>
      <c r="C64" t="s">
        <v>14</v>
      </c>
      <c r="D64" t="s">
        <v>9</v>
      </c>
      <c r="E64">
        <v>57</v>
      </c>
      <c r="F64" s="2" t="s">
        <v>15</v>
      </c>
      <c r="G64" s="2">
        <v>2</v>
      </c>
      <c r="H64" s="5">
        <v>25</v>
      </c>
      <c r="I64" s="5">
        <f t="shared" si="0"/>
        <v>50</v>
      </c>
      <c r="J64" s="2" t="str">
        <f>TEXT([1]retail_sales_cleaned_dataset!B64,"mmmm")</f>
        <v>January</v>
      </c>
      <c r="K64" s="2">
        <f>MONTH([1]retail_sales_cleaned_dataset!B64)</f>
        <v>1</v>
      </c>
      <c r="L64" s="2">
        <f>YEAR([1]retail_sales_cleaned_dataset!B64)</f>
        <v>2025</v>
      </c>
      <c r="M64" s="2" t="str">
        <f t="shared" si="1"/>
        <v>46+</v>
      </c>
    </row>
    <row r="65" spans="1:13" x14ac:dyDescent="0.25">
      <c r="A65" s="2">
        <v>64</v>
      </c>
      <c r="B65" s="1">
        <v>45684</v>
      </c>
      <c r="C65" t="s">
        <v>59</v>
      </c>
      <c r="D65" t="s">
        <v>9</v>
      </c>
      <c r="E65">
        <v>49</v>
      </c>
      <c r="F65" s="2" t="s">
        <v>13</v>
      </c>
      <c r="G65" s="2">
        <v>4</v>
      </c>
      <c r="H65" s="5">
        <v>25</v>
      </c>
      <c r="I65" s="5">
        <f t="shared" si="0"/>
        <v>100</v>
      </c>
      <c r="J65" s="2" t="str">
        <f>TEXT([1]retail_sales_cleaned_dataset!B65,"mmmm")</f>
        <v>January</v>
      </c>
      <c r="K65" s="2">
        <f>MONTH([1]retail_sales_cleaned_dataset!B65)</f>
        <v>1</v>
      </c>
      <c r="L65" s="2">
        <f>YEAR([1]retail_sales_cleaned_dataset!B65)</f>
        <v>2025</v>
      </c>
      <c r="M65" s="2" t="str">
        <f t="shared" si="1"/>
        <v>46+</v>
      </c>
    </row>
    <row r="66" spans="1:13" x14ac:dyDescent="0.25">
      <c r="A66" s="2">
        <v>65</v>
      </c>
      <c r="B66" s="1">
        <v>45684</v>
      </c>
      <c r="C66" t="s">
        <v>20</v>
      </c>
      <c r="D66" t="s">
        <v>9</v>
      </c>
      <c r="E66">
        <v>51</v>
      </c>
      <c r="F66" s="2" t="s">
        <v>15</v>
      </c>
      <c r="G66" s="2">
        <v>4</v>
      </c>
      <c r="H66" s="5">
        <v>500</v>
      </c>
      <c r="I66" s="5">
        <f t="shared" ref="I66:I129" si="2">G66*H66</f>
        <v>2000</v>
      </c>
      <c r="J66" s="2" t="str">
        <f>TEXT([1]retail_sales_cleaned_dataset!B66,"mmmm")</f>
        <v>January</v>
      </c>
      <c r="K66" s="2">
        <f>MONTH([1]retail_sales_cleaned_dataset!B66)</f>
        <v>1</v>
      </c>
      <c r="L66" s="2">
        <f>YEAR([1]retail_sales_cleaned_dataset!B66)</f>
        <v>2025</v>
      </c>
      <c r="M66" s="2" t="str">
        <f t="shared" ref="M66:M129" si="3">IF(E66&lt;=25,"18-25",IF(E66&lt;=35,"26-35",IF(E66&lt;=45,"36-45","46+")))</f>
        <v>46+</v>
      </c>
    </row>
    <row r="67" spans="1:13" x14ac:dyDescent="0.25">
      <c r="A67" s="2">
        <v>66</v>
      </c>
      <c r="B67" s="1">
        <v>45685</v>
      </c>
      <c r="C67" t="s">
        <v>60</v>
      </c>
      <c r="D67" t="s">
        <v>12</v>
      </c>
      <c r="E67">
        <v>45</v>
      </c>
      <c r="F67" s="2" t="s">
        <v>15</v>
      </c>
      <c r="G67" s="2">
        <v>1</v>
      </c>
      <c r="H67" s="5">
        <v>30</v>
      </c>
      <c r="I67" s="5">
        <f t="shared" si="2"/>
        <v>30</v>
      </c>
      <c r="J67" s="2" t="str">
        <f>TEXT([1]retail_sales_cleaned_dataset!B67,"mmmm")</f>
        <v>January</v>
      </c>
      <c r="K67" s="2">
        <f>MONTH([1]retail_sales_cleaned_dataset!B67)</f>
        <v>1</v>
      </c>
      <c r="L67" s="2">
        <f>YEAR([1]retail_sales_cleaned_dataset!B67)</f>
        <v>2025</v>
      </c>
      <c r="M67" s="2" t="str">
        <f t="shared" si="3"/>
        <v>36-45</v>
      </c>
    </row>
    <row r="68" spans="1:13" x14ac:dyDescent="0.25">
      <c r="A68" s="2">
        <v>67</v>
      </c>
      <c r="B68" s="1">
        <v>45685</v>
      </c>
      <c r="C68" t="s">
        <v>21</v>
      </c>
      <c r="D68" t="s">
        <v>12</v>
      </c>
      <c r="E68">
        <v>48</v>
      </c>
      <c r="F68" s="2" t="s">
        <v>10</v>
      </c>
      <c r="G68" s="2">
        <v>4</v>
      </c>
      <c r="H68" s="5">
        <v>300</v>
      </c>
      <c r="I68" s="5">
        <f t="shared" si="2"/>
        <v>1200</v>
      </c>
      <c r="J68" s="2" t="str">
        <f>TEXT([1]retail_sales_cleaned_dataset!B68,"mmmm")</f>
        <v>January</v>
      </c>
      <c r="K68" s="2">
        <f>MONTH([1]retail_sales_cleaned_dataset!B68)</f>
        <v>1</v>
      </c>
      <c r="L68" s="2">
        <f>YEAR([1]retail_sales_cleaned_dataset!B68)</f>
        <v>2025</v>
      </c>
      <c r="M68" s="2" t="str">
        <f t="shared" si="3"/>
        <v>46+</v>
      </c>
    </row>
    <row r="69" spans="1:13" x14ac:dyDescent="0.25">
      <c r="A69" s="2">
        <v>68</v>
      </c>
      <c r="B69" s="1">
        <v>45685</v>
      </c>
      <c r="C69" t="s">
        <v>61</v>
      </c>
      <c r="D69" t="s">
        <v>9</v>
      </c>
      <c r="E69">
        <v>25</v>
      </c>
      <c r="F69" s="2" t="s">
        <v>15</v>
      </c>
      <c r="G69" s="2">
        <v>1</v>
      </c>
      <c r="H69" s="5">
        <v>300</v>
      </c>
      <c r="I69" s="5">
        <f t="shared" si="2"/>
        <v>300</v>
      </c>
      <c r="J69" s="2" t="str">
        <f>TEXT([1]retail_sales_cleaned_dataset!B69,"mmmm")</f>
        <v>January</v>
      </c>
      <c r="K69" s="2">
        <f>MONTH([1]retail_sales_cleaned_dataset!B69)</f>
        <v>1</v>
      </c>
      <c r="L69" s="2">
        <f>YEAR([1]retail_sales_cleaned_dataset!B69)</f>
        <v>2025</v>
      </c>
      <c r="M69" s="2" t="str">
        <f t="shared" si="3"/>
        <v>18-25</v>
      </c>
    </row>
    <row r="70" spans="1:13" x14ac:dyDescent="0.25">
      <c r="A70" s="2">
        <v>69</v>
      </c>
      <c r="B70" s="1">
        <v>45686</v>
      </c>
      <c r="C70" t="s">
        <v>25</v>
      </c>
      <c r="D70" t="s">
        <v>12</v>
      </c>
      <c r="E70">
        <v>56</v>
      </c>
      <c r="F70" s="2" t="s">
        <v>10</v>
      </c>
      <c r="G70" s="2">
        <v>3</v>
      </c>
      <c r="H70" s="5">
        <v>25</v>
      </c>
      <c r="I70" s="5">
        <f t="shared" si="2"/>
        <v>75</v>
      </c>
      <c r="J70" s="2" t="str">
        <f>TEXT([1]retail_sales_cleaned_dataset!B70,"mmmm")</f>
        <v>January</v>
      </c>
      <c r="K70" s="2">
        <f>MONTH([1]retail_sales_cleaned_dataset!B70)</f>
        <v>1</v>
      </c>
      <c r="L70" s="2">
        <f>YEAR([1]retail_sales_cleaned_dataset!B70)</f>
        <v>2025</v>
      </c>
      <c r="M70" s="2" t="str">
        <f t="shared" si="3"/>
        <v>46+</v>
      </c>
    </row>
    <row r="71" spans="1:13" x14ac:dyDescent="0.25">
      <c r="A71" s="2">
        <v>70</v>
      </c>
      <c r="B71" s="1">
        <v>45687</v>
      </c>
      <c r="C71" t="s">
        <v>62</v>
      </c>
      <c r="D71" t="s">
        <v>12</v>
      </c>
      <c r="E71">
        <v>43</v>
      </c>
      <c r="F71" s="2" t="s">
        <v>13</v>
      </c>
      <c r="G71" s="2">
        <v>1</v>
      </c>
      <c r="H71" s="5">
        <v>300</v>
      </c>
      <c r="I71" s="5">
        <f t="shared" si="2"/>
        <v>300</v>
      </c>
      <c r="J71" s="2" t="str">
        <f>TEXT([1]retail_sales_cleaned_dataset!B71,"mmmm")</f>
        <v>January</v>
      </c>
      <c r="K71" s="2">
        <f>MONTH([1]retail_sales_cleaned_dataset!B71)</f>
        <v>1</v>
      </c>
      <c r="L71" s="2">
        <f>YEAR([1]retail_sales_cleaned_dataset!B71)</f>
        <v>2025</v>
      </c>
      <c r="M71" s="2" t="str">
        <f t="shared" si="3"/>
        <v>36-45</v>
      </c>
    </row>
    <row r="72" spans="1:13" x14ac:dyDescent="0.25">
      <c r="A72" s="2">
        <v>71</v>
      </c>
      <c r="B72" s="1">
        <v>45687</v>
      </c>
      <c r="C72" t="s">
        <v>27</v>
      </c>
      <c r="D72" t="s">
        <v>12</v>
      </c>
      <c r="E72">
        <v>51</v>
      </c>
      <c r="F72" s="2" t="s">
        <v>10</v>
      </c>
      <c r="G72" s="2">
        <v>4</v>
      </c>
      <c r="H72" s="5">
        <v>25</v>
      </c>
      <c r="I72" s="5">
        <f t="shared" si="2"/>
        <v>100</v>
      </c>
      <c r="J72" s="2" t="str">
        <f>TEXT([1]retail_sales_cleaned_dataset!B72,"mmmm")</f>
        <v>January</v>
      </c>
      <c r="K72" s="2">
        <f>MONTH([1]retail_sales_cleaned_dataset!B72)</f>
        <v>1</v>
      </c>
      <c r="L72" s="2">
        <f>YEAR([1]retail_sales_cleaned_dataset!B72)</f>
        <v>2025</v>
      </c>
      <c r="M72" s="2" t="str">
        <f t="shared" si="3"/>
        <v>46+</v>
      </c>
    </row>
    <row r="73" spans="1:13" x14ac:dyDescent="0.25">
      <c r="A73" s="2">
        <v>72</v>
      </c>
      <c r="B73" s="1">
        <v>45687</v>
      </c>
      <c r="C73" t="s">
        <v>63</v>
      </c>
      <c r="D73" t="s">
        <v>12</v>
      </c>
      <c r="E73">
        <v>20</v>
      </c>
      <c r="F73" s="2" t="s">
        <v>15</v>
      </c>
      <c r="G73" s="2">
        <v>4</v>
      </c>
      <c r="H73" s="5">
        <v>500</v>
      </c>
      <c r="I73" s="5">
        <f t="shared" si="2"/>
        <v>2000</v>
      </c>
      <c r="J73" s="2" t="str">
        <f>TEXT([1]retail_sales_cleaned_dataset!B73,"mmmm")</f>
        <v>January</v>
      </c>
      <c r="K73" s="2">
        <f>MONTH([1]retail_sales_cleaned_dataset!B73)</f>
        <v>1</v>
      </c>
      <c r="L73" s="2">
        <f>YEAR([1]retail_sales_cleaned_dataset!B73)</f>
        <v>2025</v>
      </c>
      <c r="M73" s="2" t="str">
        <f t="shared" si="3"/>
        <v>18-25</v>
      </c>
    </row>
    <row r="74" spans="1:13" x14ac:dyDescent="0.25">
      <c r="A74" s="2">
        <v>73</v>
      </c>
      <c r="B74" s="1">
        <v>45687</v>
      </c>
      <c r="C74" t="s">
        <v>30</v>
      </c>
      <c r="D74" t="s">
        <v>9</v>
      </c>
      <c r="E74">
        <v>29</v>
      </c>
      <c r="F74" s="2" t="s">
        <v>15</v>
      </c>
      <c r="G74" s="2">
        <v>3</v>
      </c>
      <c r="H74" s="5">
        <v>30</v>
      </c>
      <c r="I74" s="5">
        <f t="shared" si="2"/>
        <v>90</v>
      </c>
      <c r="J74" s="2" t="str">
        <f>TEXT([1]retail_sales_cleaned_dataset!B74,"mmmm")</f>
        <v>January</v>
      </c>
      <c r="K74" s="2">
        <f>MONTH([1]retail_sales_cleaned_dataset!B74)</f>
        <v>1</v>
      </c>
      <c r="L74" s="2">
        <f>YEAR([1]retail_sales_cleaned_dataset!B74)</f>
        <v>2025</v>
      </c>
      <c r="M74" s="2" t="str">
        <f t="shared" si="3"/>
        <v>26-35</v>
      </c>
    </row>
    <row r="75" spans="1:13" x14ac:dyDescent="0.25">
      <c r="A75" s="2">
        <v>74</v>
      </c>
      <c r="B75" s="1">
        <v>45688</v>
      </c>
      <c r="C75" t="s">
        <v>64</v>
      </c>
      <c r="D75" t="s">
        <v>12</v>
      </c>
      <c r="E75">
        <v>18</v>
      </c>
      <c r="F75" s="2" t="s">
        <v>10</v>
      </c>
      <c r="G75" s="2">
        <v>4</v>
      </c>
      <c r="H75" s="5">
        <v>500</v>
      </c>
      <c r="I75" s="5">
        <f t="shared" si="2"/>
        <v>2000</v>
      </c>
      <c r="J75" s="2" t="str">
        <f>TEXT([1]retail_sales_cleaned_dataset!B75,"mmmm")</f>
        <v>January</v>
      </c>
      <c r="K75" s="2">
        <f>MONTH([1]retail_sales_cleaned_dataset!B75)</f>
        <v>1</v>
      </c>
      <c r="L75" s="2">
        <f>YEAR([1]retail_sales_cleaned_dataset!B75)</f>
        <v>2025</v>
      </c>
      <c r="M75" s="2" t="str">
        <f t="shared" si="3"/>
        <v>18-25</v>
      </c>
    </row>
    <row r="76" spans="1:13" x14ac:dyDescent="0.25">
      <c r="A76" s="2">
        <v>75</v>
      </c>
      <c r="B76" s="1">
        <v>45688</v>
      </c>
      <c r="C76" t="s">
        <v>38</v>
      </c>
      <c r="D76" t="s">
        <v>9</v>
      </c>
      <c r="E76">
        <v>61</v>
      </c>
      <c r="F76" s="2" t="s">
        <v>10</v>
      </c>
      <c r="G76" s="2">
        <v>4</v>
      </c>
      <c r="H76" s="5">
        <v>50</v>
      </c>
      <c r="I76" s="5">
        <f t="shared" si="2"/>
        <v>200</v>
      </c>
      <c r="J76" s="2" t="str">
        <f>TEXT([1]retail_sales_cleaned_dataset!B76,"mmmm")</f>
        <v>January</v>
      </c>
      <c r="K76" s="2">
        <f>MONTH([1]retail_sales_cleaned_dataset!B76)</f>
        <v>1</v>
      </c>
      <c r="L76" s="2">
        <f>YEAR([1]retail_sales_cleaned_dataset!B76)</f>
        <v>2025</v>
      </c>
      <c r="M76" s="2" t="str">
        <f t="shared" si="3"/>
        <v>46+</v>
      </c>
    </row>
    <row r="77" spans="1:13" x14ac:dyDescent="0.25">
      <c r="A77" s="2">
        <v>76</v>
      </c>
      <c r="B77" s="1">
        <v>45688</v>
      </c>
      <c r="C77" t="s">
        <v>65</v>
      </c>
      <c r="D77" t="s">
        <v>12</v>
      </c>
      <c r="E77">
        <v>22</v>
      </c>
      <c r="F77" s="2" t="s">
        <v>15</v>
      </c>
      <c r="G77" s="2">
        <v>2</v>
      </c>
      <c r="H77" s="5">
        <v>50</v>
      </c>
      <c r="I77" s="5">
        <f t="shared" si="2"/>
        <v>100</v>
      </c>
      <c r="J77" s="2" t="str">
        <f>TEXT([1]retail_sales_cleaned_dataset!B77,"mmmm")</f>
        <v>January</v>
      </c>
      <c r="K77" s="2">
        <f>MONTH([1]retail_sales_cleaned_dataset!B77)</f>
        <v>1</v>
      </c>
      <c r="L77" s="2">
        <f>YEAR([1]retail_sales_cleaned_dataset!B77)</f>
        <v>2025</v>
      </c>
      <c r="M77" s="2" t="str">
        <f t="shared" si="3"/>
        <v>18-25</v>
      </c>
    </row>
    <row r="78" spans="1:13" x14ac:dyDescent="0.25">
      <c r="A78" s="2">
        <v>77</v>
      </c>
      <c r="B78" s="1">
        <v>45689</v>
      </c>
      <c r="C78" t="s">
        <v>66</v>
      </c>
      <c r="D78" t="s">
        <v>12</v>
      </c>
      <c r="E78">
        <v>47</v>
      </c>
      <c r="F78" s="2" t="s">
        <v>13</v>
      </c>
      <c r="G78" s="2">
        <v>2</v>
      </c>
      <c r="H78" s="5">
        <v>50</v>
      </c>
      <c r="I78" s="5">
        <f t="shared" si="2"/>
        <v>100</v>
      </c>
      <c r="J78" s="2" t="str">
        <f>TEXT([1]retail_sales_cleaned_dataset!B78,"mmmm")</f>
        <v>February</v>
      </c>
      <c r="K78" s="2">
        <f>MONTH([1]retail_sales_cleaned_dataset!B78)</f>
        <v>2</v>
      </c>
      <c r="L78" s="2">
        <f>YEAR([1]retail_sales_cleaned_dataset!B78)</f>
        <v>2025</v>
      </c>
      <c r="M78" s="2" t="str">
        <f t="shared" si="3"/>
        <v>46+</v>
      </c>
    </row>
    <row r="79" spans="1:13" x14ac:dyDescent="0.25">
      <c r="A79" s="2">
        <v>78</v>
      </c>
      <c r="B79" s="1">
        <v>45689</v>
      </c>
      <c r="C79" t="s">
        <v>41</v>
      </c>
      <c r="D79" t="s">
        <v>12</v>
      </c>
      <c r="E79">
        <v>47</v>
      </c>
      <c r="F79" s="2" t="s">
        <v>13</v>
      </c>
      <c r="G79" s="2">
        <v>3</v>
      </c>
      <c r="H79" s="5">
        <v>500</v>
      </c>
      <c r="I79" s="5">
        <f t="shared" si="2"/>
        <v>1500</v>
      </c>
      <c r="J79" s="2" t="str">
        <f>TEXT([1]retail_sales_cleaned_dataset!B79,"mmmm")</f>
        <v>February</v>
      </c>
      <c r="K79" s="2">
        <f>MONTH([1]retail_sales_cleaned_dataset!B79)</f>
        <v>2</v>
      </c>
      <c r="L79" s="2">
        <f>YEAR([1]retail_sales_cleaned_dataset!B79)</f>
        <v>2025</v>
      </c>
      <c r="M79" s="2" t="str">
        <f t="shared" si="3"/>
        <v>46+</v>
      </c>
    </row>
    <row r="80" spans="1:13" x14ac:dyDescent="0.25">
      <c r="A80" s="2">
        <v>79</v>
      </c>
      <c r="B80" s="1">
        <v>45689</v>
      </c>
      <c r="C80" t="s">
        <v>67</v>
      </c>
      <c r="D80" t="s">
        <v>9</v>
      </c>
      <c r="E80">
        <v>34</v>
      </c>
      <c r="F80" s="2" t="s">
        <v>10</v>
      </c>
      <c r="G80" s="2">
        <v>1</v>
      </c>
      <c r="H80" s="5">
        <v>300</v>
      </c>
      <c r="I80" s="5">
        <f t="shared" si="2"/>
        <v>300</v>
      </c>
      <c r="J80" s="2" t="str">
        <f>TEXT([1]retail_sales_cleaned_dataset!B80,"mmmm")</f>
        <v>February</v>
      </c>
      <c r="K80" s="2">
        <f>MONTH([1]retail_sales_cleaned_dataset!B80)</f>
        <v>2</v>
      </c>
      <c r="L80" s="2">
        <f>YEAR([1]retail_sales_cleaned_dataset!B80)</f>
        <v>2025</v>
      </c>
      <c r="M80" s="2" t="str">
        <f t="shared" si="3"/>
        <v>26-35</v>
      </c>
    </row>
    <row r="81" spans="1:13" x14ac:dyDescent="0.25">
      <c r="A81" s="2">
        <v>80</v>
      </c>
      <c r="B81" s="1">
        <v>45690</v>
      </c>
      <c r="C81" t="s">
        <v>43</v>
      </c>
      <c r="D81" t="s">
        <v>12</v>
      </c>
      <c r="E81">
        <v>64</v>
      </c>
      <c r="F81" s="2" t="s">
        <v>13</v>
      </c>
      <c r="G81" s="2">
        <v>2</v>
      </c>
      <c r="H81" s="5">
        <v>30</v>
      </c>
      <c r="I81" s="5">
        <f t="shared" si="2"/>
        <v>60</v>
      </c>
      <c r="J81" s="2" t="str">
        <f>TEXT([1]retail_sales_cleaned_dataset!B81,"mmmm")</f>
        <v>February</v>
      </c>
      <c r="K81" s="2">
        <f>MONTH([1]retail_sales_cleaned_dataset!B81)</f>
        <v>2</v>
      </c>
      <c r="L81" s="2">
        <f>YEAR([1]retail_sales_cleaned_dataset!B81)</f>
        <v>2025</v>
      </c>
      <c r="M81" s="2" t="str">
        <f t="shared" si="3"/>
        <v>46+</v>
      </c>
    </row>
    <row r="82" spans="1:13" x14ac:dyDescent="0.25">
      <c r="A82" s="2">
        <v>81</v>
      </c>
      <c r="B82" s="1">
        <v>45690</v>
      </c>
      <c r="C82" t="s">
        <v>68</v>
      </c>
      <c r="D82" t="s">
        <v>9</v>
      </c>
      <c r="E82">
        <v>40</v>
      </c>
      <c r="F82" s="2" t="s">
        <v>15</v>
      </c>
      <c r="G82" s="2">
        <v>1</v>
      </c>
      <c r="H82" s="5">
        <v>50</v>
      </c>
      <c r="I82" s="5">
        <f t="shared" si="2"/>
        <v>50</v>
      </c>
      <c r="J82" s="2" t="str">
        <f>TEXT([1]retail_sales_cleaned_dataset!B82,"mmmm")</f>
        <v>February</v>
      </c>
      <c r="K82" s="2">
        <f>MONTH([1]retail_sales_cleaned_dataset!B82)</f>
        <v>2</v>
      </c>
      <c r="L82" s="2">
        <f>YEAR([1]retail_sales_cleaned_dataset!B82)</f>
        <v>2025</v>
      </c>
      <c r="M82" s="2" t="str">
        <f t="shared" si="3"/>
        <v>36-45</v>
      </c>
    </row>
    <row r="83" spans="1:13" x14ac:dyDescent="0.25">
      <c r="A83" s="2">
        <v>82</v>
      </c>
      <c r="B83" s="1">
        <v>45690</v>
      </c>
      <c r="C83" t="s">
        <v>45</v>
      </c>
      <c r="D83" t="s">
        <v>12</v>
      </c>
      <c r="E83">
        <v>32</v>
      </c>
      <c r="F83" s="2" t="s">
        <v>10</v>
      </c>
      <c r="G83" s="2">
        <v>4</v>
      </c>
      <c r="H83" s="5">
        <v>50</v>
      </c>
      <c r="I83" s="5">
        <f t="shared" si="2"/>
        <v>200</v>
      </c>
      <c r="J83" s="2" t="str">
        <f>TEXT([1]retail_sales_cleaned_dataset!B83,"mmmm")</f>
        <v>February</v>
      </c>
      <c r="K83" s="2">
        <f>MONTH([1]retail_sales_cleaned_dataset!B83)</f>
        <v>2</v>
      </c>
      <c r="L83" s="2">
        <f>YEAR([1]retail_sales_cleaned_dataset!B83)</f>
        <v>2025</v>
      </c>
      <c r="M83" s="2" t="str">
        <f t="shared" si="3"/>
        <v>26-35</v>
      </c>
    </row>
    <row r="84" spans="1:13" x14ac:dyDescent="0.25">
      <c r="A84" s="2">
        <v>83</v>
      </c>
      <c r="B84" s="1">
        <v>45691</v>
      </c>
      <c r="C84" t="s">
        <v>69</v>
      </c>
      <c r="D84" t="s">
        <v>9</v>
      </c>
      <c r="E84">
        <v>54</v>
      </c>
      <c r="F84" s="2" t="s">
        <v>15</v>
      </c>
      <c r="G84" s="2">
        <v>2</v>
      </c>
      <c r="H84" s="5">
        <v>50</v>
      </c>
      <c r="I84" s="5">
        <f t="shared" si="2"/>
        <v>100</v>
      </c>
      <c r="J84" s="2" t="str">
        <f>TEXT([1]retail_sales_cleaned_dataset!B84,"mmmm")</f>
        <v>February</v>
      </c>
      <c r="K84" s="2">
        <f>MONTH([1]retail_sales_cleaned_dataset!B84)</f>
        <v>2</v>
      </c>
      <c r="L84" s="2">
        <f>YEAR([1]retail_sales_cleaned_dataset!B84)</f>
        <v>2025</v>
      </c>
      <c r="M84" s="2" t="str">
        <f t="shared" si="3"/>
        <v>46+</v>
      </c>
    </row>
    <row r="85" spans="1:13" x14ac:dyDescent="0.25">
      <c r="A85" s="2">
        <v>84</v>
      </c>
      <c r="B85" s="1">
        <v>45691</v>
      </c>
      <c r="C85" t="s">
        <v>57</v>
      </c>
      <c r="D85" t="s">
        <v>12</v>
      </c>
      <c r="E85">
        <v>38</v>
      </c>
      <c r="F85" s="2" t="s">
        <v>15</v>
      </c>
      <c r="G85" s="2">
        <v>3</v>
      </c>
      <c r="H85" s="5">
        <v>30</v>
      </c>
      <c r="I85" s="5">
        <f t="shared" si="2"/>
        <v>90</v>
      </c>
      <c r="J85" s="2" t="str">
        <f>TEXT([1]retail_sales_cleaned_dataset!B85,"mmmm")</f>
        <v>February</v>
      </c>
      <c r="K85" s="2">
        <f>MONTH([1]retail_sales_cleaned_dataset!B85)</f>
        <v>2</v>
      </c>
      <c r="L85" s="2">
        <f>YEAR([1]retail_sales_cleaned_dataset!B85)</f>
        <v>2025</v>
      </c>
      <c r="M85" s="2" t="str">
        <f t="shared" si="3"/>
        <v>36-45</v>
      </c>
    </row>
    <row r="86" spans="1:13" x14ac:dyDescent="0.25">
      <c r="A86" s="2">
        <v>85</v>
      </c>
      <c r="B86" s="1">
        <v>45692</v>
      </c>
      <c r="C86" t="s">
        <v>58</v>
      </c>
      <c r="D86" t="s">
        <v>9</v>
      </c>
      <c r="E86">
        <v>31</v>
      </c>
      <c r="F86" s="2" t="s">
        <v>13</v>
      </c>
      <c r="G86" s="2">
        <v>3</v>
      </c>
      <c r="H86" s="5">
        <v>50</v>
      </c>
      <c r="I86" s="5">
        <f t="shared" si="2"/>
        <v>150</v>
      </c>
      <c r="J86" s="2" t="str">
        <f>TEXT([1]retail_sales_cleaned_dataset!B86,"mmmm")</f>
        <v>February</v>
      </c>
      <c r="K86" s="2">
        <f>MONTH([1]retail_sales_cleaned_dataset!B86)</f>
        <v>2</v>
      </c>
      <c r="L86" s="2">
        <f>YEAR([1]retail_sales_cleaned_dataset!B86)</f>
        <v>2025</v>
      </c>
      <c r="M86" s="2" t="str">
        <f t="shared" si="3"/>
        <v>26-35</v>
      </c>
    </row>
    <row r="87" spans="1:13" x14ac:dyDescent="0.25">
      <c r="A87" s="2">
        <v>86</v>
      </c>
      <c r="B87" s="1">
        <v>45692</v>
      </c>
      <c r="C87" t="s">
        <v>70</v>
      </c>
      <c r="D87" t="s">
        <v>9</v>
      </c>
      <c r="E87">
        <v>19</v>
      </c>
      <c r="F87" s="2" t="s">
        <v>10</v>
      </c>
      <c r="G87" s="2">
        <v>3</v>
      </c>
      <c r="H87" s="5">
        <v>30</v>
      </c>
      <c r="I87" s="5">
        <f t="shared" si="2"/>
        <v>90</v>
      </c>
      <c r="J87" s="2" t="str">
        <f>TEXT([1]retail_sales_cleaned_dataset!B87,"mmmm")</f>
        <v>February</v>
      </c>
      <c r="K87" s="2">
        <f>MONTH([1]retail_sales_cleaned_dataset!B87)</f>
        <v>2</v>
      </c>
      <c r="L87" s="2">
        <f>YEAR([1]retail_sales_cleaned_dataset!B87)</f>
        <v>2025</v>
      </c>
      <c r="M87" s="2" t="str">
        <f t="shared" si="3"/>
        <v>18-25</v>
      </c>
    </row>
    <row r="88" spans="1:13" x14ac:dyDescent="0.25">
      <c r="A88" s="2">
        <v>87</v>
      </c>
      <c r="B88" s="1">
        <v>45693</v>
      </c>
      <c r="C88" t="s">
        <v>71</v>
      </c>
      <c r="D88" t="s">
        <v>12</v>
      </c>
      <c r="E88">
        <v>28</v>
      </c>
      <c r="F88" s="2" t="s">
        <v>10</v>
      </c>
      <c r="G88" s="2">
        <v>2</v>
      </c>
      <c r="H88" s="5">
        <v>50</v>
      </c>
      <c r="I88" s="5">
        <f t="shared" si="2"/>
        <v>100</v>
      </c>
      <c r="J88" s="2" t="str">
        <f>TEXT([1]retail_sales_cleaned_dataset!B88,"mmmm")</f>
        <v>February</v>
      </c>
      <c r="K88" s="2">
        <f>MONTH([1]retail_sales_cleaned_dataset!B88)</f>
        <v>2</v>
      </c>
      <c r="L88" s="2">
        <f>YEAR([1]retail_sales_cleaned_dataset!B88)</f>
        <v>2025</v>
      </c>
      <c r="M88" s="2" t="str">
        <f t="shared" si="3"/>
        <v>26-35</v>
      </c>
    </row>
    <row r="89" spans="1:13" x14ac:dyDescent="0.25">
      <c r="A89" s="2">
        <v>88</v>
      </c>
      <c r="B89" s="1">
        <v>45693</v>
      </c>
      <c r="C89" t="s">
        <v>72</v>
      </c>
      <c r="D89" t="s">
        <v>9</v>
      </c>
      <c r="E89">
        <v>56</v>
      </c>
      <c r="F89" s="2" t="s">
        <v>13</v>
      </c>
      <c r="G89" s="2">
        <v>1</v>
      </c>
      <c r="H89" s="5">
        <v>500</v>
      </c>
      <c r="I89" s="5">
        <f t="shared" si="2"/>
        <v>500</v>
      </c>
      <c r="J89" s="2" t="str">
        <f>TEXT([1]retail_sales_cleaned_dataset!B89,"mmmm")</f>
        <v>February</v>
      </c>
      <c r="K89" s="2">
        <f>MONTH([1]retail_sales_cleaned_dataset!B89)</f>
        <v>2</v>
      </c>
      <c r="L89" s="2">
        <f>YEAR([1]retail_sales_cleaned_dataset!B89)</f>
        <v>2025</v>
      </c>
      <c r="M89" s="2" t="str">
        <f t="shared" si="3"/>
        <v>46+</v>
      </c>
    </row>
    <row r="90" spans="1:13" x14ac:dyDescent="0.25">
      <c r="A90" s="2">
        <v>89</v>
      </c>
      <c r="B90" s="1">
        <v>45693</v>
      </c>
      <c r="C90" t="s">
        <v>73</v>
      </c>
      <c r="D90" t="s">
        <v>12</v>
      </c>
      <c r="E90">
        <v>55</v>
      </c>
      <c r="F90" s="2" t="s">
        <v>15</v>
      </c>
      <c r="G90" s="2">
        <v>4</v>
      </c>
      <c r="H90" s="5">
        <v>500</v>
      </c>
      <c r="I90" s="5">
        <f t="shared" si="2"/>
        <v>2000</v>
      </c>
      <c r="J90" s="2" t="str">
        <f>TEXT([1]retail_sales_cleaned_dataset!B90,"mmmm")</f>
        <v>February</v>
      </c>
      <c r="K90" s="2">
        <f>MONTH([1]retail_sales_cleaned_dataset!B90)</f>
        <v>2</v>
      </c>
      <c r="L90" s="2">
        <f>YEAR([1]retail_sales_cleaned_dataset!B90)</f>
        <v>2025</v>
      </c>
      <c r="M90" s="2" t="str">
        <f t="shared" si="3"/>
        <v>46+</v>
      </c>
    </row>
    <row r="91" spans="1:13" x14ac:dyDescent="0.25">
      <c r="A91" s="2">
        <v>90</v>
      </c>
      <c r="B91" s="1">
        <v>45693</v>
      </c>
      <c r="C91" t="s">
        <v>74</v>
      </c>
      <c r="D91" t="s">
        <v>12</v>
      </c>
      <c r="E91">
        <v>51</v>
      </c>
      <c r="F91" s="2" t="s">
        <v>15</v>
      </c>
      <c r="G91" s="2">
        <v>1</v>
      </c>
      <c r="H91" s="5">
        <v>30</v>
      </c>
      <c r="I91" s="5">
        <f t="shared" si="2"/>
        <v>30</v>
      </c>
      <c r="J91" s="2" t="str">
        <f>TEXT([1]retail_sales_cleaned_dataset!B91,"mmmm")</f>
        <v>February</v>
      </c>
      <c r="K91" s="2">
        <f>MONTH([1]retail_sales_cleaned_dataset!B91)</f>
        <v>2</v>
      </c>
      <c r="L91" s="2">
        <f>YEAR([1]retail_sales_cleaned_dataset!B91)</f>
        <v>2025</v>
      </c>
      <c r="M91" s="2" t="str">
        <f t="shared" si="3"/>
        <v>46+</v>
      </c>
    </row>
    <row r="92" spans="1:13" x14ac:dyDescent="0.25">
      <c r="A92" s="2">
        <v>91</v>
      </c>
      <c r="B92" s="1">
        <v>45693</v>
      </c>
      <c r="C92" t="s">
        <v>27</v>
      </c>
      <c r="D92" t="s">
        <v>12</v>
      </c>
      <c r="E92">
        <v>55</v>
      </c>
      <c r="F92" s="2" t="s">
        <v>15</v>
      </c>
      <c r="G92" s="2">
        <v>1</v>
      </c>
      <c r="H92" s="5">
        <v>500</v>
      </c>
      <c r="I92" s="5">
        <f t="shared" si="2"/>
        <v>500</v>
      </c>
      <c r="J92" s="2" t="str">
        <f>TEXT([1]retail_sales_cleaned_dataset!B92,"mmmm")</f>
        <v>February</v>
      </c>
      <c r="K92" s="2">
        <f>MONTH([1]retail_sales_cleaned_dataset!B92)</f>
        <v>2</v>
      </c>
      <c r="L92" s="2">
        <f>YEAR([1]retail_sales_cleaned_dataset!B92)</f>
        <v>2025</v>
      </c>
      <c r="M92" s="2" t="str">
        <f t="shared" si="3"/>
        <v>46+</v>
      </c>
    </row>
    <row r="93" spans="1:13" x14ac:dyDescent="0.25">
      <c r="A93" s="2">
        <v>92</v>
      </c>
      <c r="B93" s="1">
        <v>45693</v>
      </c>
      <c r="C93" t="s">
        <v>75</v>
      </c>
      <c r="D93" t="s">
        <v>12</v>
      </c>
      <c r="E93">
        <v>51</v>
      </c>
      <c r="F93" s="2" t="s">
        <v>15</v>
      </c>
      <c r="G93" s="2">
        <v>4</v>
      </c>
      <c r="H93" s="5">
        <v>30</v>
      </c>
      <c r="I93" s="5">
        <f t="shared" si="2"/>
        <v>120</v>
      </c>
      <c r="J93" s="2" t="str">
        <f>TEXT([1]retail_sales_cleaned_dataset!B93,"mmmm")</f>
        <v>February</v>
      </c>
      <c r="K93" s="2">
        <f>MONTH([1]retail_sales_cleaned_dataset!B93)</f>
        <v>2</v>
      </c>
      <c r="L93" s="2">
        <f>YEAR([1]retail_sales_cleaned_dataset!B93)</f>
        <v>2025</v>
      </c>
      <c r="M93" s="2" t="str">
        <f t="shared" si="3"/>
        <v>46+</v>
      </c>
    </row>
    <row r="94" spans="1:13" x14ac:dyDescent="0.25">
      <c r="A94" s="2">
        <v>93</v>
      </c>
      <c r="B94" s="1">
        <v>45693</v>
      </c>
      <c r="C94" t="s">
        <v>76</v>
      </c>
      <c r="D94" t="s">
        <v>12</v>
      </c>
      <c r="E94">
        <v>35</v>
      </c>
      <c r="F94" s="2" t="s">
        <v>10</v>
      </c>
      <c r="G94" s="2">
        <v>4</v>
      </c>
      <c r="H94" s="5">
        <v>500</v>
      </c>
      <c r="I94" s="5">
        <f t="shared" si="2"/>
        <v>2000</v>
      </c>
      <c r="J94" s="2" t="str">
        <f>TEXT([1]retail_sales_cleaned_dataset!B94,"mmmm")</f>
        <v>February</v>
      </c>
      <c r="K94" s="2">
        <f>MONTH([1]retail_sales_cleaned_dataset!B94)</f>
        <v>2</v>
      </c>
      <c r="L94" s="2">
        <f>YEAR([1]retail_sales_cleaned_dataset!B94)</f>
        <v>2025</v>
      </c>
      <c r="M94" s="2" t="str">
        <f t="shared" si="3"/>
        <v>26-35</v>
      </c>
    </row>
    <row r="95" spans="1:13" x14ac:dyDescent="0.25">
      <c r="A95" s="2">
        <v>94</v>
      </c>
      <c r="B95" s="1">
        <v>45693</v>
      </c>
      <c r="C95" t="s">
        <v>38</v>
      </c>
      <c r="D95" t="s">
        <v>12</v>
      </c>
      <c r="E95">
        <v>47</v>
      </c>
      <c r="F95" s="2" t="s">
        <v>10</v>
      </c>
      <c r="G95" s="2">
        <v>2</v>
      </c>
      <c r="H95" s="5">
        <v>500</v>
      </c>
      <c r="I95" s="5">
        <f t="shared" si="2"/>
        <v>1000</v>
      </c>
      <c r="J95" s="2" t="str">
        <f>TEXT([1]retail_sales_cleaned_dataset!B95,"mmmm")</f>
        <v>February</v>
      </c>
      <c r="K95" s="2">
        <f>MONTH([1]retail_sales_cleaned_dataset!B95)</f>
        <v>2</v>
      </c>
      <c r="L95" s="2">
        <f>YEAR([1]retail_sales_cleaned_dataset!B95)</f>
        <v>2025</v>
      </c>
      <c r="M95" s="2" t="str">
        <f t="shared" si="3"/>
        <v>46+</v>
      </c>
    </row>
    <row r="96" spans="1:13" x14ac:dyDescent="0.25">
      <c r="A96" s="2">
        <v>95</v>
      </c>
      <c r="B96" s="1">
        <v>45694</v>
      </c>
      <c r="C96" t="s">
        <v>77</v>
      </c>
      <c r="D96" t="s">
        <v>12</v>
      </c>
      <c r="E96">
        <v>32</v>
      </c>
      <c r="F96" s="2" t="s">
        <v>13</v>
      </c>
      <c r="G96" s="2">
        <v>2</v>
      </c>
      <c r="H96" s="5">
        <v>30</v>
      </c>
      <c r="I96" s="5">
        <f t="shared" si="2"/>
        <v>60</v>
      </c>
      <c r="J96" s="2" t="str">
        <f>TEXT([1]retail_sales_cleaned_dataset!B96,"mmmm")</f>
        <v>February</v>
      </c>
      <c r="K96" s="2">
        <f>MONTH([1]retail_sales_cleaned_dataset!B96)</f>
        <v>2</v>
      </c>
      <c r="L96" s="2">
        <f>YEAR([1]retail_sales_cleaned_dataset!B96)</f>
        <v>2025</v>
      </c>
      <c r="M96" s="2" t="str">
        <f t="shared" si="3"/>
        <v>26-35</v>
      </c>
    </row>
    <row r="97" spans="1:13" x14ac:dyDescent="0.25">
      <c r="A97" s="2">
        <v>96</v>
      </c>
      <c r="B97" s="1">
        <v>45694</v>
      </c>
      <c r="C97" t="s">
        <v>25</v>
      </c>
      <c r="D97" t="s">
        <v>12</v>
      </c>
      <c r="E97">
        <v>44</v>
      </c>
      <c r="F97" s="2" t="s">
        <v>13</v>
      </c>
      <c r="G97" s="2">
        <v>2</v>
      </c>
      <c r="H97" s="5">
        <v>300</v>
      </c>
      <c r="I97" s="5">
        <f t="shared" si="2"/>
        <v>600</v>
      </c>
      <c r="J97" s="2" t="str">
        <f>TEXT([1]retail_sales_cleaned_dataset!B97,"mmmm")</f>
        <v>February</v>
      </c>
      <c r="K97" s="2">
        <f>MONTH([1]retail_sales_cleaned_dataset!B97)</f>
        <v>2</v>
      </c>
      <c r="L97" s="2">
        <f>YEAR([1]retail_sales_cleaned_dataset!B97)</f>
        <v>2025</v>
      </c>
      <c r="M97" s="2" t="str">
        <f t="shared" si="3"/>
        <v>36-45</v>
      </c>
    </row>
    <row r="98" spans="1:13" x14ac:dyDescent="0.25">
      <c r="A98" s="2">
        <v>97</v>
      </c>
      <c r="B98" s="1">
        <v>45694</v>
      </c>
      <c r="C98" t="s">
        <v>78</v>
      </c>
      <c r="D98" t="s">
        <v>12</v>
      </c>
      <c r="E98">
        <v>51</v>
      </c>
      <c r="F98" s="2" t="s">
        <v>10</v>
      </c>
      <c r="G98" s="2">
        <v>2</v>
      </c>
      <c r="H98" s="5">
        <v>500</v>
      </c>
      <c r="I98" s="5">
        <f t="shared" si="2"/>
        <v>1000</v>
      </c>
      <c r="J98" s="2" t="str">
        <f>TEXT([1]retail_sales_cleaned_dataset!B98,"mmmm")</f>
        <v>February</v>
      </c>
      <c r="K98" s="2">
        <f>MONTH([1]retail_sales_cleaned_dataset!B98)</f>
        <v>2</v>
      </c>
      <c r="L98" s="2">
        <f>YEAR([1]retail_sales_cleaned_dataset!B98)</f>
        <v>2025</v>
      </c>
      <c r="M98" s="2" t="str">
        <f t="shared" si="3"/>
        <v>46+</v>
      </c>
    </row>
    <row r="99" spans="1:13" x14ac:dyDescent="0.25">
      <c r="A99" s="2">
        <v>98</v>
      </c>
      <c r="B99" s="1">
        <v>45694</v>
      </c>
      <c r="C99" t="s">
        <v>79</v>
      </c>
      <c r="D99" t="s">
        <v>12</v>
      </c>
      <c r="E99">
        <v>55</v>
      </c>
      <c r="F99" s="2" t="s">
        <v>10</v>
      </c>
      <c r="G99" s="2">
        <v>2</v>
      </c>
      <c r="H99" s="5">
        <v>50</v>
      </c>
      <c r="I99" s="5">
        <f t="shared" si="2"/>
        <v>100</v>
      </c>
      <c r="J99" s="2" t="str">
        <f>TEXT([1]retail_sales_cleaned_dataset!B99,"mmmm")</f>
        <v>February</v>
      </c>
      <c r="K99" s="2">
        <f>MONTH([1]retail_sales_cleaned_dataset!B99)</f>
        <v>2</v>
      </c>
      <c r="L99" s="2">
        <f>YEAR([1]retail_sales_cleaned_dataset!B99)</f>
        <v>2025</v>
      </c>
      <c r="M99" s="2" t="str">
        <f t="shared" si="3"/>
        <v>46+</v>
      </c>
    </row>
    <row r="100" spans="1:13" x14ac:dyDescent="0.25">
      <c r="A100" s="2">
        <v>99</v>
      </c>
      <c r="B100" s="1">
        <v>45695</v>
      </c>
      <c r="C100" t="s">
        <v>61</v>
      </c>
      <c r="D100" t="s">
        <v>12</v>
      </c>
      <c r="E100">
        <v>50</v>
      </c>
      <c r="F100" s="2" t="s">
        <v>15</v>
      </c>
      <c r="G100" s="2">
        <v>4</v>
      </c>
      <c r="H100" s="5">
        <v>300</v>
      </c>
      <c r="I100" s="5">
        <f t="shared" si="2"/>
        <v>1200</v>
      </c>
      <c r="J100" s="2" t="str">
        <f>TEXT([1]retail_sales_cleaned_dataset!B100,"mmmm")</f>
        <v>February</v>
      </c>
      <c r="K100" s="2">
        <f>MONTH([1]retail_sales_cleaned_dataset!B100)</f>
        <v>2</v>
      </c>
      <c r="L100" s="2">
        <f>YEAR([1]retail_sales_cleaned_dataset!B100)</f>
        <v>2025</v>
      </c>
      <c r="M100" s="2" t="str">
        <f t="shared" si="3"/>
        <v>46+</v>
      </c>
    </row>
    <row r="101" spans="1:13" x14ac:dyDescent="0.25">
      <c r="A101" s="2">
        <v>100</v>
      </c>
      <c r="B101" s="1">
        <v>45695</v>
      </c>
      <c r="C101" t="s">
        <v>80</v>
      </c>
      <c r="D101" t="s">
        <v>9</v>
      </c>
      <c r="E101">
        <v>41</v>
      </c>
      <c r="F101" s="2" t="s">
        <v>15</v>
      </c>
      <c r="G101" s="2">
        <v>1</v>
      </c>
      <c r="H101" s="5">
        <v>30</v>
      </c>
      <c r="I101" s="5">
        <f t="shared" si="2"/>
        <v>30</v>
      </c>
      <c r="J101" s="2" t="str">
        <f>TEXT([1]retail_sales_cleaned_dataset!B101,"mmmm")</f>
        <v>February</v>
      </c>
      <c r="K101" s="2">
        <f>MONTH([1]retail_sales_cleaned_dataset!B101)</f>
        <v>2</v>
      </c>
      <c r="L101" s="2">
        <f>YEAR([1]retail_sales_cleaned_dataset!B101)</f>
        <v>2025</v>
      </c>
      <c r="M101" s="2" t="str">
        <f t="shared" si="3"/>
        <v>36-45</v>
      </c>
    </row>
    <row r="102" spans="1:13" x14ac:dyDescent="0.25">
      <c r="A102" s="2">
        <v>101</v>
      </c>
      <c r="B102" s="1">
        <v>45695</v>
      </c>
      <c r="C102" t="s">
        <v>30</v>
      </c>
      <c r="D102" t="s">
        <v>9</v>
      </c>
      <c r="E102">
        <v>32</v>
      </c>
      <c r="F102" s="2" t="s">
        <v>13</v>
      </c>
      <c r="G102" s="2">
        <v>2</v>
      </c>
      <c r="H102" s="5">
        <v>300</v>
      </c>
      <c r="I102" s="5">
        <f t="shared" si="2"/>
        <v>600</v>
      </c>
      <c r="J102" s="2" t="str">
        <f>TEXT([1]retail_sales_cleaned_dataset!B102,"mmmm")</f>
        <v>February</v>
      </c>
      <c r="K102" s="2">
        <f>MONTH([1]retail_sales_cleaned_dataset!B102)</f>
        <v>2</v>
      </c>
      <c r="L102" s="2">
        <f>YEAR([1]retail_sales_cleaned_dataset!B102)</f>
        <v>2025</v>
      </c>
      <c r="M102" s="2" t="str">
        <f t="shared" si="3"/>
        <v>26-35</v>
      </c>
    </row>
    <row r="103" spans="1:13" x14ac:dyDescent="0.25">
      <c r="A103" s="2">
        <v>102</v>
      </c>
      <c r="B103" s="1">
        <v>45695</v>
      </c>
      <c r="C103" t="s">
        <v>81</v>
      </c>
      <c r="D103" t="s">
        <v>12</v>
      </c>
      <c r="E103">
        <v>47</v>
      </c>
      <c r="F103" s="2" t="s">
        <v>10</v>
      </c>
      <c r="G103" s="2">
        <v>2</v>
      </c>
      <c r="H103" s="5">
        <v>25</v>
      </c>
      <c r="I103" s="5">
        <f t="shared" si="2"/>
        <v>50</v>
      </c>
      <c r="J103" s="2" t="str">
        <f>TEXT([1]retail_sales_cleaned_dataset!B103,"mmmm")</f>
        <v>February</v>
      </c>
      <c r="K103" s="2">
        <f>MONTH([1]retail_sales_cleaned_dataset!B103)</f>
        <v>2</v>
      </c>
      <c r="L103" s="2">
        <f>YEAR([1]retail_sales_cleaned_dataset!B103)</f>
        <v>2025</v>
      </c>
      <c r="M103" s="2" t="str">
        <f t="shared" si="3"/>
        <v>46+</v>
      </c>
    </row>
    <row r="104" spans="1:13" x14ac:dyDescent="0.25">
      <c r="A104" s="2">
        <v>103</v>
      </c>
      <c r="B104" s="1">
        <v>45696</v>
      </c>
      <c r="C104" t="s">
        <v>45</v>
      </c>
      <c r="D104" t="s">
        <v>12</v>
      </c>
      <c r="E104">
        <v>59</v>
      </c>
      <c r="F104" s="2" t="s">
        <v>13</v>
      </c>
      <c r="G104" s="2">
        <v>1</v>
      </c>
      <c r="H104" s="5">
        <v>25</v>
      </c>
      <c r="I104" s="5">
        <f t="shared" si="2"/>
        <v>25</v>
      </c>
      <c r="J104" s="2" t="str">
        <f>TEXT([1]retail_sales_cleaned_dataset!B104,"mmmm")</f>
        <v>February</v>
      </c>
      <c r="K104" s="2">
        <f>MONTH([1]retail_sales_cleaned_dataset!B104)</f>
        <v>2</v>
      </c>
      <c r="L104" s="2">
        <f>YEAR([1]retail_sales_cleaned_dataset!B104)</f>
        <v>2025</v>
      </c>
      <c r="M104" s="2" t="str">
        <f t="shared" si="3"/>
        <v>46+</v>
      </c>
    </row>
    <row r="105" spans="1:13" x14ac:dyDescent="0.25">
      <c r="A105" s="2">
        <v>104</v>
      </c>
      <c r="B105" s="1">
        <v>45696</v>
      </c>
      <c r="C105" t="s">
        <v>82</v>
      </c>
      <c r="D105" t="s">
        <v>12</v>
      </c>
      <c r="E105">
        <v>34</v>
      </c>
      <c r="F105" s="2" t="s">
        <v>10</v>
      </c>
      <c r="G105" s="2">
        <v>2</v>
      </c>
      <c r="H105" s="5">
        <v>500</v>
      </c>
      <c r="I105" s="5">
        <f t="shared" si="2"/>
        <v>1000</v>
      </c>
      <c r="J105" s="2" t="str">
        <f>TEXT([1]retail_sales_cleaned_dataset!B105,"mmmm")</f>
        <v>February</v>
      </c>
      <c r="K105" s="2">
        <f>MONTH([1]retail_sales_cleaned_dataset!B105)</f>
        <v>2</v>
      </c>
      <c r="L105" s="2">
        <f>YEAR([1]retail_sales_cleaned_dataset!B105)</f>
        <v>2025</v>
      </c>
      <c r="M105" s="2" t="str">
        <f t="shared" si="3"/>
        <v>26-35</v>
      </c>
    </row>
    <row r="106" spans="1:13" x14ac:dyDescent="0.25">
      <c r="A106" s="2">
        <v>105</v>
      </c>
      <c r="B106" s="1">
        <v>45696</v>
      </c>
      <c r="C106" t="s">
        <v>83</v>
      </c>
      <c r="D106" t="s">
        <v>12</v>
      </c>
      <c r="E106">
        <v>22</v>
      </c>
      <c r="F106" s="2" t="s">
        <v>15</v>
      </c>
      <c r="G106" s="2">
        <v>1</v>
      </c>
      <c r="H106" s="5">
        <v>500</v>
      </c>
      <c r="I106" s="5">
        <f t="shared" si="2"/>
        <v>500</v>
      </c>
      <c r="J106" s="2" t="str">
        <f>TEXT([1]retail_sales_cleaned_dataset!B106,"mmmm")</f>
        <v>February</v>
      </c>
      <c r="K106" s="2">
        <f>MONTH([1]retail_sales_cleaned_dataset!B106)</f>
        <v>2</v>
      </c>
      <c r="L106" s="2">
        <f>YEAR([1]retail_sales_cleaned_dataset!B106)</f>
        <v>2025</v>
      </c>
      <c r="M106" s="2" t="str">
        <f t="shared" si="3"/>
        <v>18-25</v>
      </c>
    </row>
    <row r="107" spans="1:13" x14ac:dyDescent="0.25">
      <c r="A107" s="2">
        <v>106</v>
      </c>
      <c r="B107" s="1">
        <v>45696</v>
      </c>
      <c r="C107" t="s">
        <v>84</v>
      </c>
      <c r="D107" t="s">
        <v>12</v>
      </c>
      <c r="E107">
        <v>46</v>
      </c>
      <c r="F107" s="2" t="s">
        <v>13</v>
      </c>
      <c r="G107" s="2">
        <v>1</v>
      </c>
      <c r="H107" s="5">
        <v>50</v>
      </c>
      <c r="I107" s="5">
        <f t="shared" si="2"/>
        <v>50</v>
      </c>
      <c r="J107" s="2" t="str">
        <f>TEXT([1]retail_sales_cleaned_dataset!B107,"mmmm")</f>
        <v>February</v>
      </c>
      <c r="K107" s="2">
        <f>MONTH([1]retail_sales_cleaned_dataset!B107)</f>
        <v>2</v>
      </c>
      <c r="L107" s="2">
        <f>YEAR([1]retail_sales_cleaned_dataset!B107)</f>
        <v>2025</v>
      </c>
      <c r="M107" s="2" t="str">
        <f t="shared" si="3"/>
        <v>46+</v>
      </c>
    </row>
    <row r="108" spans="1:13" x14ac:dyDescent="0.25">
      <c r="A108" s="2">
        <v>107</v>
      </c>
      <c r="B108" s="1">
        <v>45697</v>
      </c>
      <c r="C108" t="s">
        <v>85</v>
      </c>
      <c r="D108" t="s">
        <v>12</v>
      </c>
      <c r="E108">
        <v>21</v>
      </c>
      <c r="F108" s="2" t="s">
        <v>13</v>
      </c>
      <c r="G108" s="2">
        <v>4</v>
      </c>
      <c r="H108" s="5">
        <v>300</v>
      </c>
      <c r="I108" s="5">
        <f t="shared" si="2"/>
        <v>1200</v>
      </c>
      <c r="J108" s="2" t="str">
        <f>TEXT([1]retail_sales_cleaned_dataset!B108,"mmmm")</f>
        <v>February</v>
      </c>
      <c r="K108" s="2">
        <f>MONTH([1]retail_sales_cleaned_dataset!B108)</f>
        <v>2</v>
      </c>
      <c r="L108" s="2">
        <f>YEAR([1]retail_sales_cleaned_dataset!B108)</f>
        <v>2025</v>
      </c>
      <c r="M108" s="2" t="str">
        <f t="shared" si="3"/>
        <v>18-25</v>
      </c>
    </row>
    <row r="109" spans="1:13" x14ac:dyDescent="0.25">
      <c r="A109" s="2">
        <v>108</v>
      </c>
      <c r="B109" s="1">
        <v>45698</v>
      </c>
      <c r="C109" t="s">
        <v>86</v>
      </c>
      <c r="D109" t="s">
        <v>12</v>
      </c>
      <c r="E109">
        <v>27</v>
      </c>
      <c r="F109" s="2" t="s">
        <v>10</v>
      </c>
      <c r="G109" s="2">
        <v>3</v>
      </c>
      <c r="H109" s="5">
        <v>25</v>
      </c>
      <c r="I109" s="5">
        <f t="shared" si="2"/>
        <v>75</v>
      </c>
      <c r="J109" s="2" t="str">
        <f>TEXT([1]retail_sales_cleaned_dataset!B109,"mmmm")</f>
        <v>February</v>
      </c>
      <c r="K109" s="2">
        <f>MONTH([1]retail_sales_cleaned_dataset!B109)</f>
        <v>2</v>
      </c>
      <c r="L109" s="2">
        <f>YEAR([1]retail_sales_cleaned_dataset!B109)</f>
        <v>2025</v>
      </c>
      <c r="M109" s="2" t="str">
        <f t="shared" si="3"/>
        <v>26-35</v>
      </c>
    </row>
    <row r="110" spans="1:13" x14ac:dyDescent="0.25">
      <c r="A110" s="2">
        <v>109</v>
      </c>
      <c r="B110" s="1">
        <v>45698</v>
      </c>
      <c r="C110" t="s">
        <v>75</v>
      </c>
      <c r="D110" t="s">
        <v>12</v>
      </c>
      <c r="E110">
        <v>34</v>
      </c>
      <c r="F110" s="2" t="s">
        <v>15</v>
      </c>
      <c r="G110" s="2">
        <v>4</v>
      </c>
      <c r="H110" s="5">
        <v>500</v>
      </c>
      <c r="I110" s="5">
        <f t="shared" si="2"/>
        <v>2000</v>
      </c>
      <c r="J110" s="2" t="str">
        <f>TEXT([1]retail_sales_cleaned_dataset!B110,"mmmm")</f>
        <v>February</v>
      </c>
      <c r="K110" s="2">
        <f>MONTH([1]retail_sales_cleaned_dataset!B110)</f>
        <v>2</v>
      </c>
      <c r="L110" s="2">
        <f>YEAR([1]retail_sales_cleaned_dataset!B110)</f>
        <v>2025</v>
      </c>
      <c r="M110" s="2" t="str">
        <f t="shared" si="3"/>
        <v>26-35</v>
      </c>
    </row>
    <row r="111" spans="1:13" x14ac:dyDescent="0.25">
      <c r="A111" s="2">
        <v>110</v>
      </c>
      <c r="B111" s="1">
        <v>45698</v>
      </c>
      <c r="C111" t="s">
        <v>87</v>
      </c>
      <c r="D111" t="s">
        <v>9</v>
      </c>
      <c r="E111">
        <v>27</v>
      </c>
      <c r="F111" s="2" t="s">
        <v>13</v>
      </c>
      <c r="G111" s="2">
        <v>3</v>
      </c>
      <c r="H111" s="5">
        <v>300</v>
      </c>
      <c r="I111" s="5">
        <f t="shared" si="2"/>
        <v>900</v>
      </c>
      <c r="J111" s="2" t="str">
        <f>TEXT([1]retail_sales_cleaned_dataset!B111,"mmmm")</f>
        <v>February</v>
      </c>
      <c r="K111" s="2">
        <f>MONTH([1]retail_sales_cleaned_dataset!B111)</f>
        <v>2</v>
      </c>
      <c r="L111" s="2">
        <f>YEAR([1]retail_sales_cleaned_dataset!B111)</f>
        <v>2025</v>
      </c>
      <c r="M111" s="2" t="str">
        <f t="shared" si="3"/>
        <v>26-35</v>
      </c>
    </row>
    <row r="112" spans="1:13" x14ac:dyDescent="0.25">
      <c r="A112" s="2">
        <v>111</v>
      </c>
      <c r="B112" s="1">
        <v>45699</v>
      </c>
      <c r="C112" t="s">
        <v>78</v>
      </c>
      <c r="D112" t="s">
        <v>12</v>
      </c>
      <c r="E112">
        <v>34</v>
      </c>
      <c r="F112" s="2" t="s">
        <v>15</v>
      </c>
      <c r="G112" s="2">
        <v>3</v>
      </c>
      <c r="H112" s="5">
        <v>500</v>
      </c>
      <c r="I112" s="5">
        <f t="shared" si="2"/>
        <v>1500</v>
      </c>
      <c r="J112" s="2" t="str">
        <f>TEXT([1]retail_sales_cleaned_dataset!B112,"mmmm")</f>
        <v>February</v>
      </c>
      <c r="K112" s="2">
        <f>MONTH([1]retail_sales_cleaned_dataset!B112)</f>
        <v>2</v>
      </c>
      <c r="L112" s="2">
        <f>YEAR([1]retail_sales_cleaned_dataset!B112)</f>
        <v>2025</v>
      </c>
      <c r="M112" s="2" t="str">
        <f t="shared" si="3"/>
        <v>26-35</v>
      </c>
    </row>
    <row r="113" spans="1:13" x14ac:dyDescent="0.25">
      <c r="A113" s="2">
        <v>112</v>
      </c>
      <c r="B113" s="1">
        <v>45699</v>
      </c>
      <c r="C113" t="s">
        <v>88</v>
      </c>
      <c r="D113" t="s">
        <v>9</v>
      </c>
      <c r="E113">
        <v>37</v>
      </c>
      <c r="F113" s="2" t="s">
        <v>13</v>
      </c>
      <c r="G113" s="2">
        <v>3</v>
      </c>
      <c r="H113" s="5">
        <v>500</v>
      </c>
      <c r="I113" s="5">
        <f t="shared" si="2"/>
        <v>1500</v>
      </c>
      <c r="J113" s="2" t="str">
        <f>TEXT([1]retail_sales_cleaned_dataset!B113,"mmmm")</f>
        <v>February</v>
      </c>
      <c r="K113" s="2">
        <f>MONTH([1]retail_sales_cleaned_dataset!B113)</f>
        <v>2</v>
      </c>
      <c r="L113" s="2">
        <f>YEAR([1]retail_sales_cleaned_dataset!B113)</f>
        <v>2025</v>
      </c>
      <c r="M113" s="2" t="str">
        <f t="shared" si="3"/>
        <v>36-45</v>
      </c>
    </row>
    <row r="114" spans="1:13" x14ac:dyDescent="0.25">
      <c r="A114" s="2">
        <v>113</v>
      </c>
      <c r="B114" s="1">
        <v>45699</v>
      </c>
      <c r="C114" t="s">
        <v>85</v>
      </c>
      <c r="D114" t="s">
        <v>12</v>
      </c>
      <c r="E114">
        <v>41</v>
      </c>
      <c r="F114" s="2" t="s">
        <v>15</v>
      </c>
      <c r="G114" s="2">
        <v>2</v>
      </c>
      <c r="H114" s="5">
        <v>25</v>
      </c>
      <c r="I114" s="5">
        <f t="shared" si="2"/>
        <v>50</v>
      </c>
      <c r="J114" s="2" t="str">
        <f>TEXT([1]retail_sales_cleaned_dataset!B114,"mmmm")</f>
        <v>February</v>
      </c>
      <c r="K114" s="2">
        <f>MONTH([1]retail_sales_cleaned_dataset!B114)</f>
        <v>2</v>
      </c>
      <c r="L114" s="2">
        <f>YEAR([1]retail_sales_cleaned_dataset!B114)</f>
        <v>2025</v>
      </c>
      <c r="M114" s="2" t="str">
        <f t="shared" si="3"/>
        <v>36-45</v>
      </c>
    </row>
    <row r="115" spans="1:13" x14ac:dyDescent="0.25">
      <c r="A115" s="2">
        <v>114</v>
      </c>
      <c r="B115" s="1">
        <v>45699</v>
      </c>
      <c r="C115" t="s">
        <v>89</v>
      </c>
      <c r="D115" t="s">
        <v>12</v>
      </c>
      <c r="E115">
        <v>22</v>
      </c>
      <c r="F115" s="2" t="s">
        <v>10</v>
      </c>
      <c r="G115" s="2">
        <v>4</v>
      </c>
      <c r="H115" s="5">
        <v>25</v>
      </c>
      <c r="I115" s="5">
        <f t="shared" si="2"/>
        <v>100</v>
      </c>
      <c r="J115" s="2" t="str">
        <f>TEXT([1]retail_sales_cleaned_dataset!B115,"mmmm")</f>
        <v>February</v>
      </c>
      <c r="K115" s="2">
        <f>MONTH([1]retail_sales_cleaned_dataset!B115)</f>
        <v>2</v>
      </c>
      <c r="L115" s="2">
        <f>YEAR([1]retail_sales_cleaned_dataset!B115)</f>
        <v>2025</v>
      </c>
      <c r="M115" s="2" t="str">
        <f t="shared" si="3"/>
        <v>18-25</v>
      </c>
    </row>
    <row r="116" spans="1:13" x14ac:dyDescent="0.25">
      <c r="A116" s="2">
        <v>115</v>
      </c>
      <c r="B116" s="1">
        <v>45699</v>
      </c>
      <c r="C116" t="s">
        <v>90</v>
      </c>
      <c r="D116" t="s">
        <v>9</v>
      </c>
      <c r="E116">
        <v>51</v>
      </c>
      <c r="F116" s="2" t="s">
        <v>13</v>
      </c>
      <c r="G116" s="2">
        <v>3</v>
      </c>
      <c r="H116" s="5">
        <v>500</v>
      </c>
      <c r="I116" s="5">
        <f t="shared" si="2"/>
        <v>1500</v>
      </c>
      <c r="J116" s="2" t="str">
        <f>TEXT([1]retail_sales_cleaned_dataset!B116,"mmmm")</f>
        <v>February</v>
      </c>
      <c r="K116" s="2">
        <f>MONTH([1]retail_sales_cleaned_dataset!B116)</f>
        <v>2</v>
      </c>
      <c r="L116" s="2">
        <f>YEAR([1]retail_sales_cleaned_dataset!B116)</f>
        <v>2025</v>
      </c>
      <c r="M116" s="2" t="str">
        <f t="shared" si="3"/>
        <v>46+</v>
      </c>
    </row>
    <row r="117" spans="1:13" x14ac:dyDescent="0.25">
      <c r="A117" s="2">
        <v>116</v>
      </c>
      <c r="B117" s="1">
        <v>45700</v>
      </c>
      <c r="C117" t="s">
        <v>91</v>
      </c>
      <c r="D117" t="s">
        <v>12</v>
      </c>
      <c r="E117">
        <v>23</v>
      </c>
      <c r="F117" s="2" t="s">
        <v>13</v>
      </c>
      <c r="G117" s="2">
        <v>1</v>
      </c>
      <c r="H117" s="5">
        <v>30</v>
      </c>
      <c r="I117" s="5">
        <f t="shared" si="2"/>
        <v>30</v>
      </c>
      <c r="J117" s="2" t="str">
        <f>TEXT([1]retail_sales_cleaned_dataset!B117,"mmmm")</f>
        <v>February</v>
      </c>
      <c r="K117" s="2">
        <f>MONTH([1]retail_sales_cleaned_dataset!B117)</f>
        <v>2</v>
      </c>
      <c r="L117" s="2">
        <f>YEAR([1]retail_sales_cleaned_dataset!B117)</f>
        <v>2025</v>
      </c>
      <c r="M117" s="2" t="str">
        <f t="shared" si="3"/>
        <v>18-25</v>
      </c>
    </row>
    <row r="118" spans="1:13" x14ac:dyDescent="0.25">
      <c r="A118" s="2">
        <v>117</v>
      </c>
      <c r="B118" s="1">
        <v>45701</v>
      </c>
      <c r="C118" t="s">
        <v>92</v>
      </c>
      <c r="D118" t="s">
        <v>9</v>
      </c>
      <c r="E118">
        <v>19</v>
      </c>
      <c r="F118" s="2" t="s">
        <v>15</v>
      </c>
      <c r="G118" s="2">
        <v>2</v>
      </c>
      <c r="H118" s="5">
        <v>500</v>
      </c>
      <c r="I118" s="5">
        <f t="shared" si="2"/>
        <v>1000</v>
      </c>
      <c r="J118" s="2" t="str">
        <f>TEXT([1]retail_sales_cleaned_dataset!B118,"mmmm")</f>
        <v>February</v>
      </c>
      <c r="K118" s="2">
        <f>MONTH([1]retail_sales_cleaned_dataset!B118)</f>
        <v>2</v>
      </c>
      <c r="L118" s="2">
        <f>YEAR([1]retail_sales_cleaned_dataset!B118)</f>
        <v>2025</v>
      </c>
      <c r="M118" s="2" t="str">
        <f t="shared" si="3"/>
        <v>18-25</v>
      </c>
    </row>
    <row r="119" spans="1:13" x14ac:dyDescent="0.25">
      <c r="A119" s="2">
        <v>118</v>
      </c>
      <c r="B119" s="1">
        <v>45701</v>
      </c>
      <c r="C119" t="s">
        <v>93</v>
      </c>
      <c r="D119" t="s">
        <v>12</v>
      </c>
      <c r="E119">
        <v>30</v>
      </c>
      <c r="F119" s="2" t="s">
        <v>15</v>
      </c>
      <c r="G119" s="2">
        <v>1</v>
      </c>
      <c r="H119" s="5">
        <v>500</v>
      </c>
      <c r="I119" s="5">
        <f t="shared" si="2"/>
        <v>500</v>
      </c>
      <c r="J119" s="2" t="str">
        <f>TEXT([1]retail_sales_cleaned_dataset!B119,"mmmm")</f>
        <v>February</v>
      </c>
      <c r="K119" s="2">
        <f>MONTH([1]retail_sales_cleaned_dataset!B119)</f>
        <v>2</v>
      </c>
      <c r="L119" s="2">
        <f>YEAR([1]retail_sales_cleaned_dataset!B119)</f>
        <v>2025</v>
      </c>
      <c r="M119" s="2" t="str">
        <f t="shared" si="3"/>
        <v>26-35</v>
      </c>
    </row>
    <row r="120" spans="1:13" x14ac:dyDescent="0.25">
      <c r="A120" s="2">
        <v>119</v>
      </c>
      <c r="B120" s="1">
        <v>45701</v>
      </c>
      <c r="C120" t="s">
        <v>94</v>
      </c>
      <c r="D120" t="s">
        <v>12</v>
      </c>
      <c r="E120">
        <v>60</v>
      </c>
      <c r="F120" s="2" t="s">
        <v>13</v>
      </c>
      <c r="G120" s="2">
        <v>3</v>
      </c>
      <c r="H120" s="5">
        <v>50</v>
      </c>
      <c r="I120" s="5">
        <f t="shared" si="2"/>
        <v>150</v>
      </c>
      <c r="J120" s="2" t="str">
        <f>TEXT([1]retail_sales_cleaned_dataset!B120,"mmmm")</f>
        <v>February</v>
      </c>
      <c r="K120" s="2">
        <f>MONTH([1]retail_sales_cleaned_dataset!B120)</f>
        <v>2</v>
      </c>
      <c r="L120" s="2">
        <f>YEAR([1]retail_sales_cleaned_dataset!B120)</f>
        <v>2025</v>
      </c>
      <c r="M120" s="2" t="str">
        <f t="shared" si="3"/>
        <v>46+</v>
      </c>
    </row>
    <row r="121" spans="1:13" x14ac:dyDescent="0.25">
      <c r="A121" s="2">
        <v>120</v>
      </c>
      <c r="B121" s="1">
        <v>45701</v>
      </c>
      <c r="C121" t="s">
        <v>95</v>
      </c>
      <c r="D121" t="s">
        <v>9</v>
      </c>
      <c r="E121">
        <v>60</v>
      </c>
      <c r="F121" s="2" t="s">
        <v>10</v>
      </c>
      <c r="G121" s="2">
        <v>1</v>
      </c>
      <c r="H121" s="5">
        <v>50</v>
      </c>
      <c r="I121" s="5">
        <f t="shared" si="2"/>
        <v>50</v>
      </c>
      <c r="J121" s="2" t="str">
        <f>TEXT([1]retail_sales_cleaned_dataset!B121,"mmmm")</f>
        <v>February</v>
      </c>
      <c r="K121" s="2">
        <f>MONTH([1]retail_sales_cleaned_dataset!B121)</f>
        <v>2</v>
      </c>
      <c r="L121" s="2">
        <f>YEAR([1]retail_sales_cleaned_dataset!B121)</f>
        <v>2025</v>
      </c>
      <c r="M121" s="2" t="str">
        <f t="shared" si="3"/>
        <v>46+</v>
      </c>
    </row>
    <row r="122" spans="1:13" x14ac:dyDescent="0.25">
      <c r="A122" s="2">
        <v>121</v>
      </c>
      <c r="B122" s="1">
        <v>45702</v>
      </c>
      <c r="C122" t="s">
        <v>96</v>
      </c>
      <c r="D122" t="s">
        <v>12</v>
      </c>
      <c r="E122">
        <v>28</v>
      </c>
      <c r="F122" s="2" t="s">
        <v>15</v>
      </c>
      <c r="G122" s="2">
        <v>4</v>
      </c>
      <c r="H122" s="5">
        <v>50</v>
      </c>
      <c r="I122" s="5">
        <f t="shared" si="2"/>
        <v>200</v>
      </c>
      <c r="J122" s="2" t="str">
        <f>TEXT([1]retail_sales_cleaned_dataset!B122,"mmmm")</f>
        <v>February</v>
      </c>
      <c r="K122" s="2">
        <f>MONTH([1]retail_sales_cleaned_dataset!B122)</f>
        <v>2</v>
      </c>
      <c r="L122" s="2">
        <f>YEAR([1]retail_sales_cleaned_dataset!B122)</f>
        <v>2025</v>
      </c>
      <c r="M122" s="2" t="str">
        <f t="shared" si="3"/>
        <v>26-35</v>
      </c>
    </row>
    <row r="123" spans="1:13" x14ac:dyDescent="0.25">
      <c r="A123" s="2">
        <v>122</v>
      </c>
      <c r="B123" s="1">
        <v>45702</v>
      </c>
      <c r="C123" t="s">
        <v>38</v>
      </c>
      <c r="D123" t="s">
        <v>9</v>
      </c>
      <c r="E123">
        <v>64</v>
      </c>
      <c r="F123" s="2" t="s">
        <v>15</v>
      </c>
      <c r="G123" s="2">
        <v>4</v>
      </c>
      <c r="H123" s="5">
        <v>30</v>
      </c>
      <c r="I123" s="5">
        <f t="shared" si="2"/>
        <v>120</v>
      </c>
      <c r="J123" s="2" t="str">
        <f>TEXT([1]retail_sales_cleaned_dataset!B123,"mmmm")</f>
        <v>February</v>
      </c>
      <c r="K123" s="2">
        <f>MONTH([1]retail_sales_cleaned_dataset!B123)</f>
        <v>2</v>
      </c>
      <c r="L123" s="2">
        <f>YEAR([1]retail_sales_cleaned_dataset!B123)</f>
        <v>2025</v>
      </c>
      <c r="M123" s="2" t="str">
        <f t="shared" si="3"/>
        <v>46+</v>
      </c>
    </row>
    <row r="124" spans="1:13" x14ac:dyDescent="0.25">
      <c r="A124" s="2">
        <v>123</v>
      </c>
      <c r="B124" s="1">
        <v>45704</v>
      </c>
      <c r="C124" t="s">
        <v>97</v>
      </c>
      <c r="D124" t="s">
        <v>12</v>
      </c>
      <c r="E124">
        <v>40</v>
      </c>
      <c r="F124" s="2" t="s">
        <v>15</v>
      </c>
      <c r="G124" s="2">
        <v>2</v>
      </c>
      <c r="H124" s="5">
        <v>30</v>
      </c>
      <c r="I124" s="5">
        <f t="shared" si="2"/>
        <v>60</v>
      </c>
      <c r="J124" s="2" t="str">
        <f>TEXT([1]retail_sales_cleaned_dataset!B124,"mmmm")</f>
        <v>February</v>
      </c>
      <c r="K124" s="2">
        <f>MONTH([1]retail_sales_cleaned_dataset!B124)</f>
        <v>2</v>
      </c>
      <c r="L124" s="2">
        <f>YEAR([1]retail_sales_cleaned_dataset!B124)</f>
        <v>2025</v>
      </c>
      <c r="M124" s="2" t="str">
        <f t="shared" si="3"/>
        <v>36-45</v>
      </c>
    </row>
    <row r="125" spans="1:13" x14ac:dyDescent="0.25">
      <c r="A125" s="2">
        <v>124</v>
      </c>
      <c r="B125" s="1">
        <v>45705</v>
      </c>
      <c r="C125" t="s">
        <v>41</v>
      </c>
      <c r="D125" t="s">
        <v>9</v>
      </c>
      <c r="E125">
        <v>33</v>
      </c>
      <c r="F125" s="2" t="s">
        <v>13</v>
      </c>
      <c r="G125" s="2">
        <v>4</v>
      </c>
      <c r="H125" s="5">
        <v>500</v>
      </c>
      <c r="I125" s="5">
        <f t="shared" si="2"/>
        <v>2000</v>
      </c>
      <c r="J125" s="2" t="str">
        <f>TEXT([1]retail_sales_cleaned_dataset!B125,"mmmm")</f>
        <v>February</v>
      </c>
      <c r="K125" s="2">
        <f>MONTH([1]retail_sales_cleaned_dataset!B125)</f>
        <v>2</v>
      </c>
      <c r="L125" s="2">
        <f>YEAR([1]retail_sales_cleaned_dataset!B125)</f>
        <v>2025</v>
      </c>
      <c r="M125" s="2" t="str">
        <f t="shared" si="3"/>
        <v>26-35</v>
      </c>
    </row>
    <row r="126" spans="1:13" x14ac:dyDescent="0.25">
      <c r="A126" s="2">
        <v>125</v>
      </c>
      <c r="B126" s="1">
        <v>45705</v>
      </c>
      <c r="C126" t="s">
        <v>98</v>
      </c>
      <c r="D126" t="s">
        <v>9</v>
      </c>
      <c r="E126">
        <v>48</v>
      </c>
      <c r="F126" s="2" t="s">
        <v>13</v>
      </c>
      <c r="G126" s="2">
        <v>2</v>
      </c>
      <c r="H126" s="5">
        <v>50</v>
      </c>
      <c r="I126" s="5">
        <f t="shared" si="2"/>
        <v>100</v>
      </c>
      <c r="J126" s="2" t="str">
        <f>TEXT([1]retail_sales_cleaned_dataset!B126,"mmmm")</f>
        <v>February</v>
      </c>
      <c r="K126" s="2">
        <f>MONTH([1]retail_sales_cleaned_dataset!B126)</f>
        <v>2</v>
      </c>
      <c r="L126" s="2">
        <f>YEAR([1]retail_sales_cleaned_dataset!B126)</f>
        <v>2025</v>
      </c>
      <c r="M126" s="2" t="str">
        <f t="shared" si="3"/>
        <v>46+</v>
      </c>
    </row>
    <row r="127" spans="1:13" x14ac:dyDescent="0.25">
      <c r="A127" s="2">
        <v>126</v>
      </c>
      <c r="B127" s="1">
        <v>45705</v>
      </c>
      <c r="C127" t="s">
        <v>43</v>
      </c>
      <c r="D127" t="s">
        <v>12</v>
      </c>
      <c r="E127">
        <v>28</v>
      </c>
      <c r="F127" s="2" t="s">
        <v>13</v>
      </c>
      <c r="G127" s="2">
        <v>3</v>
      </c>
      <c r="H127" s="5">
        <v>30</v>
      </c>
      <c r="I127" s="5">
        <f t="shared" si="2"/>
        <v>90</v>
      </c>
      <c r="J127" s="2" t="str">
        <f>TEXT([1]retail_sales_cleaned_dataset!B127,"mmmm")</f>
        <v>February</v>
      </c>
      <c r="K127" s="2">
        <f>MONTH([1]retail_sales_cleaned_dataset!B127)</f>
        <v>2</v>
      </c>
      <c r="L127" s="2">
        <f>YEAR([1]retail_sales_cleaned_dataset!B127)</f>
        <v>2025</v>
      </c>
      <c r="M127" s="2" t="str">
        <f t="shared" si="3"/>
        <v>26-35</v>
      </c>
    </row>
    <row r="128" spans="1:13" x14ac:dyDescent="0.25">
      <c r="A128" s="2">
        <v>127</v>
      </c>
      <c r="B128" s="1">
        <v>45705</v>
      </c>
      <c r="C128" t="s">
        <v>99</v>
      </c>
      <c r="D128" t="s">
        <v>12</v>
      </c>
      <c r="E128">
        <v>33</v>
      </c>
      <c r="F128" s="2" t="s">
        <v>13</v>
      </c>
      <c r="G128" s="2">
        <v>2</v>
      </c>
      <c r="H128" s="5">
        <v>25</v>
      </c>
      <c r="I128" s="5">
        <f t="shared" si="2"/>
        <v>50</v>
      </c>
      <c r="J128" s="2" t="str">
        <f>TEXT([1]retail_sales_cleaned_dataset!B128,"mmmm")</f>
        <v>February</v>
      </c>
      <c r="K128" s="2">
        <f>MONTH([1]retail_sales_cleaned_dataset!B128)</f>
        <v>2</v>
      </c>
      <c r="L128" s="2">
        <f>YEAR([1]retail_sales_cleaned_dataset!B128)</f>
        <v>2025</v>
      </c>
      <c r="M128" s="2" t="str">
        <f t="shared" si="3"/>
        <v>26-35</v>
      </c>
    </row>
    <row r="129" spans="1:13" x14ac:dyDescent="0.25">
      <c r="A129" s="2">
        <v>128</v>
      </c>
      <c r="B129" s="1">
        <v>45705</v>
      </c>
      <c r="C129" t="s">
        <v>45</v>
      </c>
      <c r="D129" t="s">
        <v>9</v>
      </c>
      <c r="E129">
        <v>25</v>
      </c>
      <c r="F129" s="2" t="s">
        <v>10</v>
      </c>
      <c r="G129" s="2">
        <v>1</v>
      </c>
      <c r="H129" s="5">
        <v>500</v>
      </c>
      <c r="I129" s="5">
        <f t="shared" si="2"/>
        <v>500</v>
      </c>
      <c r="J129" s="2" t="str">
        <f>TEXT([1]retail_sales_cleaned_dataset!B129,"mmmm")</f>
        <v>February</v>
      </c>
      <c r="K129" s="2">
        <f>MONTH([1]retail_sales_cleaned_dataset!B129)</f>
        <v>2</v>
      </c>
      <c r="L129" s="2">
        <f>YEAR([1]retail_sales_cleaned_dataset!B129)</f>
        <v>2025</v>
      </c>
      <c r="M129" s="2" t="str">
        <f t="shared" si="3"/>
        <v>18-25</v>
      </c>
    </row>
    <row r="130" spans="1:13" x14ac:dyDescent="0.25">
      <c r="A130" s="2">
        <v>129</v>
      </c>
      <c r="B130" s="1">
        <v>45705</v>
      </c>
      <c r="C130" t="s">
        <v>100</v>
      </c>
      <c r="D130" t="s">
        <v>12</v>
      </c>
      <c r="E130">
        <v>21</v>
      </c>
      <c r="F130" s="2" t="s">
        <v>10</v>
      </c>
      <c r="G130" s="2">
        <v>2</v>
      </c>
      <c r="H130" s="5">
        <v>300</v>
      </c>
      <c r="I130" s="5">
        <f t="shared" ref="I130:I193" si="4">G130*H130</f>
        <v>600</v>
      </c>
      <c r="J130" s="2" t="str">
        <f>TEXT([1]retail_sales_cleaned_dataset!B130,"mmmm")</f>
        <v>February</v>
      </c>
      <c r="K130" s="2">
        <f>MONTH([1]retail_sales_cleaned_dataset!B130)</f>
        <v>2</v>
      </c>
      <c r="L130" s="2">
        <f>YEAR([1]retail_sales_cleaned_dataset!B130)</f>
        <v>2025</v>
      </c>
      <c r="M130" s="2" t="str">
        <f t="shared" ref="M130:M193" si="5">IF(E130&lt;=25,"18-25",IF(E130&lt;=35,"26-35",IF(E130&lt;=45,"36-45","46+")))</f>
        <v>18-25</v>
      </c>
    </row>
    <row r="131" spans="1:13" x14ac:dyDescent="0.25">
      <c r="A131" s="2">
        <v>130</v>
      </c>
      <c r="B131" s="1">
        <v>45706</v>
      </c>
      <c r="C131" t="s">
        <v>75</v>
      </c>
      <c r="D131" t="s">
        <v>12</v>
      </c>
      <c r="E131">
        <v>57</v>
      </c>
      <c r="F131" s="2" t="s">
        <v>13</v>
      </c>
      <c r="G131" s="2">
        <v>2</v>
      </c>
      <c r="H131" s="5">
        <v>500</v>
      </c>
      <c r="I131" s="5">
        <f t="shared" si="4"/>
        <v>1000</v>
      </c>
      <c r="J131" s="2" t="str">
        <f>TEXT([1]retail_sales_cleaned_dataset!B131,"mmmm")</f>
        <v>February</v>
      </c>
      <c r="K131" s="2">
        <f>MONTH([1]retail_sales_cleaned_dataset!B131)</f>
        <v>2</v>
      </c>
      <c r="L131" s="2">
        <f>YEAR([1]retail_sales_cleaned_dataset!B131)</f>
        <v>2025</v>
      </c>
      <c r="M131" s="2" t="str">
        <f t="shared" si="5"/>
        <v>46+</v>
      </c>
    </row>
    <row r="132" spans="1:13" x14ac:dyDescent="0.25">
      <c r="A132" s="2">
        <v>131</v>
      </c>
      <c r="B132" s="1">
        <v>45707</v>
      </c>
      <c r="C132" t="s">
        <v>101</v>
      </c>
      <c r="D132" t="s">
        <v>12</v>
      </c>
      <c r="E132">
        <v>21</v>
      </c>
      <c r="F132" s="2" t="s">
        <v>10</v>
      </c>
      <c r="G132" s="2">
        <v>2</v>
      </c>
      <c r="H132" s="5">
        <v>300</v>
      </c>
      <c r="I132" s="5">
        <f t="shared" si="4"/>
        <v>600</v>
      </c>
      <c r="J132" s="2" t="str">
        <f>TEXT([1]retail_sales_cleaned_dataset!B132,"mmmm")</f>
        <v>February</v>
      </c>
      <c r="K132" s="2">
        <f>MONTH([1]retail_sales_cleaned_dataset!B132)</f>
        <v>2</v>
      </c>
      <c r="L132" s="2">
        <f>YEAR([1]retail_sales_cleaned_dataset!B132)</f>
        <v>2025</v>
      </c>
      <c r="M132" s="2" t="str">
        <f t="shared" si="5"/>
        <v>18-25</v>
      </c>
    </row>
    <row r="133" spans="1:13" x14ac:dyDescent="0.25">
      <c r="A133" s="2">
        <v>132</v>
      </c>
      <c r="B133" s="1">
        <v>45707</v>
      </c>
      <c r="C133" t="s">
        <v>95</v>
      </c>
      <c r="D133" t="s">
        <v>9</v>
      </c>
      <c r="E133">
        <v>42</v>
      </c>
      <c r="F133" s="2" t="s">
        <v>15</v>
      </c>
      <c r="G133" s="2">
        <v>4</v>
      </c>
      <c r="H133" s="5">
        <v>50</v>
      </c>
      <c r="I133" s="5">
        <f t="shared" si="4"/>
        <v>200</v>
      </c>
      <c r="J133" s="2" t="str">
        <f>TEXT([1]retail_sales_cleaned_dataset!B133,"mmmm")</f>
        <v>February</v>
      </c>
      <c r="K133" s="2">
        <f>MONTH([1]retail_sales_cleaned_dataset!B133)</f>
        <v>2</v>
      </c>
      <c r="L133" s="2">
        <f>YEAR([1]retail_sales_cleaned_dataset!B133)</f>
        <v>2025</v>
      </c>
      <c r="M133" s="2" t="str">
        <f t="shared" si="5"/>
        <v>36-45</v>
      </c>
    </row>
    <row r="134" spans="1:13" x14ac:dyDescent="0.25">
      <c r="A134" s="2">
        <v>133</v>
      </c>
      <c r="B134" s="1">
        <v>45708</v>
      </c>
      <c r="C134" t="s">
        <v>102</v>
      </c>
      <c r="D134" t="s">
        <v>9</v>
      </c>
      <c r="E134">
        <v>20</v>
      </c>
      <c r="F134" s="2" t="s">
        <v>15</v>
      </c>
      <c r="G134" s="2">
        <v>3</v>
      </c>
      <c r="H134" s="5">
        <v>300</v>
      </c>
      <c r="I134" s="5">
        <f t="shared" si="4"/>
        <v>900</v>
      </c>
      <c r="J134" s="2" t="str">
        <f>TEXT([1]retail_sales_cleaned_dataset!B134,"mmmm")</f>
        <v>February</v>
      </c>
      <c r="K134" s="2">
        <f>MONTH([1]retail_sales_cleaned_dataset!B134)</f>
        <v>2</v>
      </c>
      <c r="L134" s="2">
        <f>YEAR([1]retail_sales_cleaned_dataset!B134)</f>
        <v>2025</v>
      </c>
      <c r="M134" s="2" t="str">
        <f t="shared" si="5"/>
        <v>18-25</v>
      </c>
    </row>
    <row r="135" spans="1:13" x14ac:dyDescent="0.25">
      <c r="A135" s="2">
        <v>134</v>
      </c>
      <c r="B135" s="1">
        <v>45708</v>
      </c>
      <c r="C135" t="s">
        <v>96</v>
      </c>
      <c r="D135" t="s">
        <v>9</v>
      </c>
      <c r="E135">
        <v>49</v>
      </c>
      <c r="F135" s="2" t="s">
        <v>15</v>
      </c>
      <c r="G135" s="2">
        <v>1</v>
      </c>
      <c r="H135" s="5">
        <v>50</v>
      </c>
      <c r="I135" s="5">
        <f t="shared" si="4"/>
        <v>50</v>
      </c>
      <c r="J135" s="2" t="str">
        <f>TEXT([1]retail_sales_cleaned_dataset!B135,"mmmm")</f>
        <v>February</v>
      </c>
      <c r="K135" s="2">
        <f>MONTH([1]retail_sales_cleaned_dataset!B135)</f>
        <v>2</v>
      </c>
      <c r="L135" s="2">
        <f>YEAR([1]retail_sales_cleaned_dataset!B135)</f>
        <v>2025</v>
      </c>
      <c r="M135" s="2" t="str">
        <f t="shared" si="5"/>
        <v>46+</v>
      </c>
    </row>
    <row r="136" spans="1:13" x14ac:dyDescent="0.25">
      <c r="A136" s="2">
        <v>135</v>
      </c>
      <c r="B136" s="1">
        <v>45708</v>
      </c>
      <c r="C136" t="s">
        <v>103</v>
      </c>
      <c r="D136" t="s">
        <v>9</v>
      </c>
      <c r="E136">
        <v>20</v>
      </c>
      <c r="F136" s="2" t="s">
        <v>13</v>
      </c>
      <c r="G136" s="2">
        <v>2</v>
      </c>
      <c r="H136" s="5">
        <v>25</v>
      </c>
      <c r="I136" s="5">
        <f t="shared" si="4"/>
        <v>50</v>
      </c>
      <c r="J136" s="2" t="str">
        <f>TEXT([1]retail_sales_cleaned_dataset!B136,"mmmm")</f>
        <v>February</v>
      </c>
      <c r="K136" s="2">
        <f>MONTH([1]retail_sales_cleaned_dataset!B136)</f>
        <v>2</v>
      </c>
      <c r="L136" s="2">
        <f>YEAR([1]retail_sales_cleaned_dataset!B136)</f>
        <v>2025</v>
      </c>
      <c r="M136" s="2" t="str">
        <f t="shared" si="5"/>
        <v>18-25</v>
      </c>
    </row>
    <row r="137" spans="1:13" x14ac:dyDescent="0.25">
      <c r="A137" s="2">
        <v>136</v>
      </c>
      <c r="B137" s="1">
        <v>45709</v>
      </c>
      <c r="C137" t="s">
        <v>101</v>
      </c>
      <c r="D137" t="s">
        <v>9</v>
      </c>
      <c r="E137">
        <v>44</v>
      </c>
      <c r="F137" s="2" t="s">
        <v>15</v>
      </c>
      <c r="G137" s="2">
        <v>2</v>
      </c>
      <c r="H137" s="5">
        <v>300</v>
      </c>
      <c r="I137" s="5">
        <f t="shared" si="4"/>
        <v>600</v>
      </c>
      <c r="J137" s="2" t="str">
        <f>TEXT([1]retail_sales_cleaned_dataset!B137,"mmmm")</f>
        <v>February</v>
      </c>
      <c r="K137" s="2">
        <f>MONTH([1]retail_sales_cleaned_dataset!B137)</f>
        <v>2</v>
      </c>
      <c r="L137" s="2">
        <f>YEAR([1]retail_sales_cleaned_dataset!B137)</f>
        <v>2025</v>
      </c>
      <c r="M137" s="2" t="str">
        <f t="shared" si="5"/>
        <v>36-45</v>
      </c>
    </row>
    <row r="138" spans="1:13" x14ac:dyDescent="0.25">
      <c r="A138" s="2">
        <v>137</v>
      </c>
      <c r="B138" s="1">
        <v>45709</v>
      </c>
      <c r="C138" t="s">
        <v>104</v>
      </c>
      <c r="D138" t="s">
        <v>9</v>
      </c>
      <c r="E138">
        <v>46</v>
      </c>
      <c r="F138" s="2" t="s">
        <v>10</v>
      </c>
      <c r="G138" s="2">
        <v>2</v>
      </c>
      <c r="H138" s="5">
        <v>500</v>
      </c>
      <c r="I138" s="5">
        <f t="shared" si="4"/>
        <v>1000</v>
      </c>
      <c r="J138" s="2" t="str">
        <f>TEXT([1]retail_sales_cleaned_dataset!B138,"mmmm")</f>
        <v>February</v>
      </c>
      <c r="K138" s="2">
        <f>MONTH([1]retail_sales_cleaned_dataset!B138)</f>
        <v>2</v>
      </c>
      <c r="L138" s="2">
        <f>YEAR([1]retail_sales_cleaned_dataset!B138)</f>
        <v>2025</v>
      </c>
      <c r="M138" s="2" t="str">
        <f t="shared" si="5"/>
        <v>46+</v>
      </c>
    </row>
    <row r="139" spans="1:13" x14ac:dyDescent="0.25">
      <c r="A139" s="2">
        <v>138</v>
      </c>
      <c r="B139" s="1">
        <v>45709</v>
      </c>
      <c r="C139" t="s">
        <v>102</v>
      </c>
      <c r="D139" t="s">
        <v>9</v>
      </c>
      <c r="E139">
        <v>49</v>
      </c>
      <c r="F139" s="2" t="s">
        <v>13</v>
      </c>
      <c r="G139" s="2">
        <v>4</v>
      </c>
      <c r="H139" s="5">
        <v>50</v>
      </c>
      <c r="I139" s="5">
        <f t="shared" si="4"/>
        <v>200</v>
      </c>
      <c r="J139" s="2" t="str">
        <f>TEXT([1]retail_sales_cleaned_dataset!B139,"mmmm")</f>
        <v>February</v>
      </c>
      <c r="K139" s="2">
        <f>MONTH([1]retail_sales_cleaned_dataset!B139)</f>
        <v>2</v>
      </c>
      <c r="L139" s="2">
        <f>YEAR([1]retail_sales_cleaned_dataset!B139)</f>
        <v>2025</v>
      </c>
      <c r="M139" s="2" t="str">
        <f t="shared" si="5"/>
        <v>46+</v>
      </c>
    </row>
    <row r="140" spans="1:13" x14ac:dyDescent="0.25">
      <c r="A140" s="2">
        <v>139</v>
      </c>
      <c r="B140" s="1">
        <v>45710</v>
      </c>
      <c r="C140" t="s">
        <v>105</v>
      </c>
      <c r="D140" t="s">
        <v>9</v>
      </c>
      <c r="E140">
        <v>36</v>
      </c>
      <c r="F140" s="2" t="s">
        <v>10</v>
      </c>
      <c r="G140" s="2">
        <v>4</v>
      </c>
      <c r="H140" s="5">
        <v>500</v>
      </c>
      <c r="I140" s="5">
        <f t="shared" si="4"/>
        <v>2000</v>
      </c>
      <c r="J140" s="2" t="str">
        <f>TEXT([1]retail_sales_cleaned_dataset!B140,"mmmm")</f>
        <v>February</v>
      </c>
      <c r="K140" s="2">
        <f>MONTH([1]retail_sales_cleaned_dataset!B140)</f>
        <v>2</v>
      </c>
      <c r="L140" s="2">
        <f>YEAR([1]retail_sales_cleaned_dataset!B140)</f>
        <v>2025</v>
      </c>
      <c r="M140" s="2" t="str">
        <f t="shared" si="5"/>
        <v>36-45</v>
      </c>
    </row>
    <row r="141" spans="1:13" x14ac:dyDescent="0.25">
      <c r="A141" s="2">
        <v>140</v>
      </c>
      <c r="B141" s="1">
        <v>45710</v>
      </c>
      <c r="C141" t="s">
        <v>103</v>
      </c>
      <c r="D141" t="s">
        <v>9</v>
      </c>
      <c r="E141">
        <v>38</v>
      </c>
      <c r="F141" s="2" t="s">
        <v>15</v>
      </c>
      <c r="G141" s="2">
        <v>1</v>
      </c>
      <c r="H141" s="5">
        <v>30</v>
      </c>
      <c r="I141" s="5">
        <f t="shared" si="4"/>
        <v>30</v>
      </c>
      <c r="J141" s="2" t="str">
        <f>TEXT([1]retail_sales_cleaned_dataset!B141,"mmmm")</f>
        <v>February</v>
      </c>
      <c r="K141" s="2">
        <f>MONTH([1]retail_sales_cleaned_dataset!B141)</f>
        <v>2</v>
      </c>
      <c r="L141" s="2">
        <f>YEAR([1]retail_sales_cleaned_dataset!B141)</f>
        <v>2025</v>
      </c>
      <c r="M141" s="2" t="str">
        <f t="shared" si="5"/>
        <v>36-45</v>
      </c>
    </row>
    <row r="142" spans="1:13" x14ac:dyDescent="0.25">
      <c r="A142" s="2">
        <v>141</v>
      </c>
      <c r="B142" s="1">
        <v>45710</v>
      </c>
      <c r="C142" t="s">
        <v>106</v>
      </c>
      <c r="D142" t="s">
        <v>12</v>
      </c>
      <c r="E142">
        <v>22</v>
      </c>
      <c r="F142" s="2" t="s">
        <v>15</v>
      </c>
      <c r="G142" s="2">
        <v>1</v>
      </c>
      <c r="H142" s="5">
        <v>50</v>
      </c>
      <c r="I142" s="5">
        <f t="shared" si="4"/>
        <v>50</v>
      </c>
      <c r="J142" s="2" t="str">
        <f>TEXT([1]retail_sales_cleaned_dataset!B142,"mmmm")</f>
        <v>February</v>
      </c>
      <c r="K142" s="2">
        <f>MONTH([1]retail_sales_cleaned_dataset!B142)</f>
        <v>2</v>
      </c>
      <c r="L142" s="2">
        <f>YEAR([1]retail_sales_cleaned_dataset!B142)</f>
        <v>2025</v>
      </c>
      <c r="M142" s="2" t="str">
        <f t="shared" si="5"/>
        <v>18-25</v>
      </c>
    </row>
    <row r="143" spans="1:13" x14ac:dyDescent="0.25">
      <c r="A143" s="2">
        <v>142</v>
      </c>
      <c r="B143" s="1">
        <v>45710</v>
      </c>
      <c r="C143" s="15" t="s">
        <v>104</v>
      </c>
      <c r="D143" t="s">
        <v>9</v>
      </c>
      <c r="E143">
        <v>35</v>
      </c>
      <c r="F143" s="2" t="s">
        <v>15</v>
      </c>
      <c r="G143" s="2">
        <v>4</v>
      </c>
      <c r="H143" s="5">
        <v>300</v>
      </c>
      <c r="I143" s="5">
        <f t="shared" si="4"/>
        <v>1200</v>
      </c>
      <c r="J143" s="2" t="str">
        <f>TEXT([1]retail_sales_cleaned_dataset!B143,"mmmm")</f>
        <v>February</v>
      </c>
      <c r="K143" s="2">
        <f>MONTH([1]retail_sales_cleaned_dataset!B143)</f>
        <v>2</v>
      </c>
      <c r="L143" s="2">
        <f>YEAR([1]retail_sales_cleaned_dataset!B143)</f>
        <v>2025</v>
      </c>
      <c r="M143" s="2" t="str">
        <f t="shared" si="5"/>
        <v>26-35</v>
      </c>
    </row>
    <row r="144" spans="1:13" x14ac:dyDescent="0.25">
      <c r="A144" s="2">
        <v>143</v>
      </c>
      <c r="B144" s="1">
        <v>45710</v>
      </c>
      <c r="C144" s="15" t="s">
        <v>107</v>
      </c>
      <c r="D144" t="s">
        <v>12</v>
      </c>
      <c r="E144">
        <v>45</v>
      </c>
      <c r="F144" s="2" t="s">
        <v>13</v>
      </c>
      <c r="G144" s="2">
        <v>4</v>
      </c>
      <c r="H144" s="5">
        <v>50</v>
      </c>
      <c r="I144" s="5">
        <f t="shared" si="4"/>
        <v>200</v>
      </c>
      <c r="J144" s="2" t="str">
        <f>TEXT([1]retail_sales_cleaned_dataset!B144,"mmmm")</f>
        <v>February</v>
      </c>
      <c r="K144" s="2">
        <f>MONTH([1]retail_sales_cleaned_dataset!B144)</f>
        <v>2</v>
      </c>
      <c r="L144" s="2">
        <f>YEAR([1]retail_sales_cleaned_dataset!B144)</f>
        <v>2025</v>
      </c>
      <c r="M144" s="2" t="str">
        <f t="shared" si="5"/>
        <v>36-45</v>
      </c>
    </row>
    <row r="145" spans="1:13" x14ac:dyDescent="0.25">
      <c r="A145" s="2">
        <v>144</v>
      </c>
      <c r="B145" s="1">
        <v>45711</v>
      </c>
      <c r="C145" t="s">
        <v>108</v>
      </c>
      <c r="D145" t="s">
        <v>12</v>
      </c>
      <c r="E145">
        <v>59</v>
      </c>
      <c r="F145" s="2" t="s">
        <v>10</v>
      </c>
      <c r="G145" s="2">
        <v>3</v>
      </c>
      <c r="H145" s="5">
        <v>500</v>
      </c>
      <c r="I145" s="5">
        <f t="shared" si="4"/>
        <v>1500</v>
      </c>
      <c r="J145" s="2" t="str">
        <f>TEXT([1]retail_sales_cleaned_dataset!B145,"mmmm")</f>
        <v>February</v>
      </c>
      <c r="K145" s="2">
        <f>MONTH([1]retail_sales_cleaned_dataset!B145)</f>
        <v>2</v>
      </c>
      <c r="L145" s="2">
        <f>YEAR([1]retail_sales_cleaned_dataset!B145)</f>
        <v>2025</v>
      </c>
      <c r="M145" s="2" t="str">
        <f t="shared" si="5"/>
        <v>46+</v>
      </c>
    </row>
    <row r="146" spans="1:13" x14ac:dyDescent="0.25">
      <c r="A146" s="2">
        <v>145</v>
      </c>
      <c r="B146" s="1">
        <v>45712</v>
      </c>
      <c r="C146" t="s">
        <v>109</v>
      </c>
      <c r="D146" t="s">
        <v>12</v>
      </c>
      <c r="E146">
        <v>39</v>
      </c>
      <c r="F146" s="2" t="s">
        <v>13</v>
      </c>
      <c r="G146" s="2">
        <v>3</v>
      </c>
      <c r="H146" s="5">
        <v>25</v>
      </c>
      <c r="I146" s="5">
        <f t="shared" si="4"/>
        <v>75</v>
      </c>
      <c r="J146" s="2" t="str">
        <f>TEXT([1]retail_sales_cleaned_dataset!B146,"mmmm")</f>
        <v>February</v>
      </c>
      <c r="K146" s="2">
        <f>MONTH([1]retail_sales_cleaned_dataset!B146)</f>
        <v>2</v>
      </c>
      <c r="L146" s="2">
        <f>YEAR([1]retail_sales_cleaned_dataset!B146)</f>
        <v>2025</v>
      </c>
      <c r="M146" s="2" t="str">
        <f t="shared" si="5"/>
        <v>36-45</v>
      </c>
    </row>
    <row r="147" spans="1:13" x14ac:dyDescent="0.25">
      <c r="A147" s="2">
        <v>146</v>
      </c>
      <c r="B147" s="1">
        <v>45712</v>
      </c>
      <c r="C147" t="s">
        <v>110</v>
      </c>
      <c r="D147" t="s">
        <v>9</v>
      </c>
      <c r="E147">
        <v>38</v>
      </c>
      <c r="F147" s="2" t="s">
        <v>13</v>
      </c>
      <c r="G147" s="2">
        <v>4</v>
      </c>
      <c r="H147" s="5">
        <v>50</v>
      </c>
      <c r="I147" s="5">
        <f t="shared" si="4"/>
        <v>200</v>
      </c>
      <c r="J147" s="2" t="str">
        <f>TEXT([1]retail_sales_cleaned_dataset!B147,"mmmm")</f>
        <v>February</v>
      </c>
      <c r="K147" s="2">
        <f>MONTH([1]retail_sales_cleaned_dataset!B147)</f>
        <v>2</v>
      </c>
      <c r="L147" s="2">
        <f>YEAR([1]retail_sales_cleaned_dataset!B147)</f>
        <v>2025</v>
      </c>
      <c r="M147" s="2" t="str">
        <f t="shared" si="5"/>
        <v>36-45</v>
      </c>
    </row>
    <row r="148" spans="1:13" x14ac:dyDescent="0.25">
      <c r="A148" s="2">
        <v>147</v>
      </c>
      <c r="B148" s="1">
        <v>45712</v>
      </c>
      <c r="C148" t="s">
        <v>111</v>
      </c>
      <c r="D148" t="s">
        <v>9</v>
      </c>
      <c r="E148">
        <v>23</v>
      </c>
      <c r="F148" s="2" t="s">
        <v>15</v>
      </c>
      <c r="G148" s="2">
        <v>1</v>
      </c>
      <c r="H148" s="5">
        <v>300</v>
      </c>
      <c r="I148" s="5">
        <f t="shared" si="4"/>
        <v>300</v>
      </c>
      <c r="J148" s="2" t="str">
        <f>TEXT([1]retail_sales_cleaned_dataset!B148,"mmmm")</f>
        <v>February</v>
      </c>
      <c r="K148" s="2">
        <f>MONTH([1]retail_sales_cleaned_dataset!B148)</f>
        <v>2</v>
      </c>
      <c r="L148" s="2">
        <f>YEAR([1]retail_sales_cleaned_dataset!B148)</f>
        <v>2025</v>
      </c>
      <c r="M148" s="2" t="str">
        <f t="shared" si="5"/>
        <v>18-25</v>
      </c>
    </row>
    <row r="149" spans="1:13" x14ac:dyDescent="0.25">
      <c r="A149" s="2">
        <v>148</v>
      </c>
      <c r="B149" s="1">
        <v>45712</v>
      </c>
      <c r="C149" t="s">
        <v>112</v>
      </c>
      <c r="D149" t="s">
        <v>9</v>
      </c>
      <c r="E149">
        <v>18</v>
      </c>
      <c r="F149" s="2" t="s">
        <v>13</v>
      </c>
      <c r="G149" s="2">
        <v>2</v>
      </c>
      <c r="H149" s="5">
        <v>30</v>
      </c>
      <c r="I149" s="5">
        <f t="shared" si="4"/>
        <v>60</v>
      </c>
      <c r="J149" s="2" t="str">
        <f>TEXT([1]retail_sales_cleaned_dataset!B149,"mmmm")</f>
        <v>February</v>
      </c>
      <c r="K149" s="2">
        <f>MONTH([1]retail_sales_cleaned_dataset!B149)</f>
        <v>2</v>
      </c>
      <c r="L149" s="2">
        <f>YEAR([1]retail_sales_cleaned_dataset!B149)</f>
        <v>2025</v>
      </c>
      <c r="M149" s="2" t="str">
        <f t="shared" si="5"/>
        <v>18-25</v>
      </c>
    </row>
    <row r="150" spans="1:13" x14ac:dyDescent="0.25">
      <c r="A150" s="2">
        <v>149</v>
      </c>
      <c r="B150" s="1">
        <v>45713</v>
      </c>
      <c r="C150" t="s">
        <v>113</v>
      </c>
      <c r="D150" t="s">
        <v>9</v>
      </c>
      <c r="E150">
        <v>22</v>
      </c>
      <c r="F150" s="2" t="s">
        <v>13</v>
      </c>
      <c r="G150" s="2">
        <v>3</v>
      </c>
      <c r="H150" s="5">
        <v>25</v>
      </c>
      <c r="I150" s="5">
        <f t="shared" si="4"/>
        <v>75</v>
      </c>
      <c r="J150" s="2" t="str">
        <f>TEXT([1]retail_sales_cleaned_dataset!B150,"mmmm")</f>
        <v>February</v>
      </c>
      <c r="K150" s="2">
        <f>MONTH([1]retail_sales_cleaned_dataset!B150)</f>
        <v>2</v>
      </c>
      <c r="L150" s="2">
        <f>YEAR([1]retail_sales_cleaned_dataset!B150)</f>
        <v>2025</v>
      </c>
      <c r="M150" s="2" t="str">
        <f t="shared" si="5"/>
        <v>18-25</v>
      </c>
    </row>
    <row r="151" spans="1:13" x14ac:dyDescent="0.25">
      <c r="A151" s="2">
        <v>150</v>
      </c>
      <c r="B151" s="1">
        <v>45713</v>
      </c>
      <c r="C151" t="s">
        <v>45</v>
      </c>
      <c r="D151" t="s">
        <v>12</v>
      </c>
      <c r="E151">
        <v>58</v>
      </c>
      <c r="F151" s="2" t="s">
        <v>15</v>
      </c>
      <c r="G151" s="2">
        <v>4</v>
      </c>
      <c r="H151" s="5">
        <v>30</v>
      </c>
      <c r="I151" s="5">
        <f t="shared" si="4"/>
        <v>120</v>
      </c>
      <c r="J151" s="2" t="str">
        <f>TEXT([1]retail_sales_cleaned_dataset!B151,"mmmm")</f>
        <v>February</v>
      </c>
      <c r="K151" s="2">
        <f>MONTH([1]retail_sales_cleaned_dataset!B151)</f>
        <v>2</v>
      </c>
      <c r="L151" s="2">
        <f>YEAR([1]retail_sales_cleaned_dataset!B151)</f>
        <v>2025</v>
      </c>
      <c r="M151" s="2" t="str">
        <f t="shared" si="5"/>
        <v>46+</v>
      </c>
    </row>
    <row r="152" spans="1:13" x14ac:dyDescent="0.25">
      <c r="A152" s="2">
        <v>151</v>
      </c>
      <c r="B152" s="1">
        <v>45713</v>
      </c>
      <c r="C152" t="s">
        <v>114</v>
      </c>
      <c r="D152" t="s">
        <v>9</v>
      </c>
      <c r="E152">
        <v>29</v>
      </c>
      <c r="F152" s="2" t="s">
        <v>13</v>
      </c>
      <c r="G152" s="2">
        <v>1</v>
      </c>
      <c r="H152" s="5">
        <v>50</v>
      </c>
      <c r="I152" s="5">
        <f t="shared" si="4"/>
        <v>50</v>
      </c>
      <c r="J152" s="2" t="str">
        <f>TEXT([1]retail_sales_cleaned_dataset!B152,"mmmm")</f>
        <v>February</v>
      </c>
      <c r="K152" s="2">
        <f>MONTH([1]retail_sales_cleaned_dataset!B152)</f>
        <v>2</v>
      </c>
      <c r="L152" s="2">
        <f>YEAR([1]retail_sales_cleaned_dataset!B152)</f>
        <v>2025</v>
      </c>
      <c r="M152" s="2" t="str">
        <f t="shared" si="5"/>
        <v>26-35</v>
      </c>
    </row>
    <row r="153" spans="1:13" x14ac:dyDescent="0.25">
      <c r="A153" s="2">
        <v>152</v>
      </c>
      <c r="B153" s="1">
        <v>45713</v>
      </c>
      <c r="C153" t="s">
        <v>30</v>
      </c>
      <c r="D153" t="s">
        <v>9</v>
      </c>
      <c r="E153">
        <v>43</v>
      </c>
      <c r="F153" s="2" t="s">
        <v>15</v>
      </c>
      <c r="G153" s="2">
        <v>4</v>
      </c>
      <c r="H153" s="5">
        <v>500</v>
      </c>
      <c r="I153" s="5">
        <f t="shared" si="4"/>
        <v>2000</v>
      </c>
      <c r="J153" s="2" t="str">
        <f>TEXT([1]retail_sales_cleaned_dataset!B153,"mmmm")</f>
        <v>February</v>
      </c>
      <c r="K153" s="2">
        <f>MONTH([1]retail_sales_cleaned_dataset!B153)</f>
        <v>2</v>
      </c>
      <c r="L153" s="2">
        <f>YEAR([1]retail_sales_cleaned_dataset!B153)</f>
        <v>2025</v>
      </c>
      <c r="M153" s="2" t="str">
        <f t="shared" si="5"/>
        <v>36-45</v>
      </c>
    </row>
    <row r="154" spans="1:13" x14ac:dyDescent="0.25">
      <c r="A154" s="2">
        <v>153</v>
      </c>
      <c r="B154" s="1">
        <v>45714</v>
      </c>
      <c r="C154" t="s">
        <v>115</v>
      </c>
      <c r="D154" t="s">
        <v>9</v>
      </c>
      <c r="E154">
        <v>63</v>
      </c>
      <c r="F154" s="2" t="s">
        <v>15</v>
      </c>
      <c r="G154" s="2">
        <v>2</v>
      </c>
      <c r="H154" s="5">
        <v>500</v>
      </c>
      <c r="I154" s="5">
        <f t="shared" si="4"/>
        <v>1000</v>
      </c>
      <c r="J154" s="2" t="str">
        <f>TEXT([1]retail_sales_cleaned_dataset!B154,"mmmm")</f>
        <v>February</v>
      </c>
      <c r="K154" s="2">
        <f>MONTH([1]retail_sales_cleaned_dataset!B154)</f>
        <v>2</v>
      </c>
      <c r="L154" s="2">
        <f>YEAR([1]retail_sales_cleaned_dataset!B154)</f>
        <v>2025</v>
      </c>
      <c r="M154" s="2" t="str">
        <f t="shared" si="5"/>
        <v>46+</v>
      </c>
    </row>
    <row r="155" spans="1:13" x14ac:dyDescent="0.25">
      <c r="A155" s="2">
        <v>154</v>
      </c>
      <c r="B155" s="1">
        <v>45715</v>
      </c>
      <c r="C155" t="s">
        <v>101</v>
      </c>
      <c r="D155" t="s">
        <v>9</v>
      </c>
      <c r="E155">
        <v>51</v>
      </c>
      <c r="F155" s="2" t="s">
        <v>15</v>
      </c>
      <c r="G155" s="2">
        <v>3</v>
      </c>
      <c r="H155" s="5">
        <v>300</v>
      </c>
      <c r="I155" s="5">
        <f t="shared" si="4"/>
        <v>900</v>
      </c>
      <c r="J155" s="2" t="str">
        <f>TEXT([1]retail_sales_cleaned_dataset!B155,"mmmm")</f>
        <v>February</v>
      </c>
      <c r="K155" s="2">
        <f>MONTH([1]retail_sales_cleaned_dataset!B155)</f>
        <v>2</v>
      </c>
      <c r="L155" s="2">
        <f>YEAR([1]retail_sales_cleaned_dataset!B155)</f>
        <v>2025</v>
      </c>
      <c r="M155" s="2" t="str">
        <f t="shared" si="5"/>
        <v>46+</v>
      </c>
    </row>
    <row r="156" spans="1:13" x14ac:dyDescent="0.25">
      <c r="A156" s="2">
        <v>155</v>
      </c>
      <c r="B156" s="1">
        <v>45715</v>
      </c>
      <c r="C156" t="s">
        <v>116</v>
      </c>
      <c r="D156" t="s">
        <v>9</v>
      </c>
      <c r="E156">
        <v>31</v>
      </c>
      <c r="F156" s="2" t="s">
        <v>15</v>
      </c>
      <c r="G156" s="2">
        <v>4</v>
      </c>
      <c r="H156" s="5">
        <v>500</v>
      </c>
      <c r="I156" s="5">
        <f t="shared" si="4"/>
        <v>2000</v>
      </c>
      <c r="J156" s="2" t="str">
        <f>TEXT([1]retail_sales_cleaned_dataset!B156,"mmmm")</f>
        <v>February</v>
      </c>
      <c r="K156" s="2">
        <f>MONTH([1]retail_sales_cleaned_dataset!B156)</f>
        <v>2</v>
      </c>
      <c r="L156" s="2">
        <f>YEAR([1]retail_sales_cleaned_dataset!B156)</f>
        <v>2025</v>
      </c>
      <c r="M156" s="2" t="str">
        <f t="shared" si="5"/>
        <v>26-35</v>
      </c>
    </row>
    <row r="157" spans="1:13" x14ac:dyDescent="0.25">
      <c r="A157" s="2">
        <v>156</v>
      </c>
      <c r="B157" s="1">
        <v>45715</v>
      </c>
      <c r="C157" t="s">
        <v>14</v>
      </c>
      <c r="D157" t="s">
        <v>12</v>
      </c>
      <c r="E157">
        <v>43</v>
      </c>
      <c r="F157" s="2" t="s">
        <v>13</v>
      </c>
      <c r="G157" s="2">
        <v>4</v>
      </c>
      <c r="H157" s="5">
        <v>25</v>
      </c>
      <c r="I157" s="5">
        <f t="shared" si="4"/>
        <v>100</v>
      </c>
      <c r="J157" s="2" t="str">
        <f>TEXT([1]retail_sales_cleaned_dataset!B157,"mmmm")</f>
        <v>February</v>
      </c>
      <c r="K157" s="2">
        <f>MONTH([1]retail_sales_cleaned_dataset!B157)</f>
        <v>2</v>
      </c>
      <c r="L157" s="2">
        <f>YEAR([1]retail_sales_cleaned_dataset!B157)</f>
        <v>2025</v>
      </c>
      <c r="M157" s="2" t="str">
        <f t="shared" si="5"/>
        <v>36-45</v>
      </c>
    </row>
    <row r="158" spans="1:13" x14ac:dyDescent="0.25">
      <c r="A158" s="2">
        <v>157</v>
      </c>
      <c r="B158" s="1">
        <v>45715</v>
      </c>
      <c r="C158" t="s">
        <v>117</v>
      </c>
      <c r="D158" t="s">
        <v>9</v>
      </c>
      <c r="E158">
        <v>62</v>
      </c>
      <c r="F158" s="2" t="s">
        <v>15</v>
      </c>
      <c r="G158" s="2">
        <v>4</v>
      </c>
      <c r="H158" s="5">
        <v>500</v>
      </c>
      <c r="I158" s="5">
        <f t="shared" si="4"/>
        <v>2000</v>
      </c>
      <c r="J158" s="2" t="str">
        <f>TEXT([1]retail_sales_cleaned_dataset!B158,"mmmm")</f>
        <v>February</v>
      </c>
      <c r="K158" s="2">
        <f>MONTH([1]retail_sales_cleaned_dataset!B158)</f>
        <v>2</v>
      </c>
      <c r="L158" s="2">
        <f>YEAR([1]retail_sales_cleaned_dataset!B158)</f>
        <v>2025</v>
      </c>
      <c r="M158" s="2" t="str">
        <f t="shared" si="5"/>
        <v>46+</v>
      </c>
    </row>
    <row r="159" spans="1:13" x14ac:dyDescent="0.25">
      <c r="A159" s="2">
        <v>158</v>
      </c>
      <c r="B159" s="1">
        <v>45716</v>
      </c>
      <c r="C159" t="s">
        <v>61</v>
      </c>
      <c r="D159" t="s">
        <v>12</v>
      </c>
      <c r="E159">
        <v>44</v>
      </c>
      <c r="F159" s="2" t="s">
        <v>15</v>
      </c>
      <c r="G159" s="2">
        <v>3</v>
      </c>
      <c r="H159" s="5">
        <v>300</v>
      </c>
      <c r="I159" s="5">
        <f t="shared" si="4"/>
        <v>900</v>
      </c>
      <c r="J159" s="2" t="str">
        <f>TEXT([1]retail_sales_cleaned_dataset!B159,"mmmm")</f>
        <v>February</v>
      </c>
      <c r="K159" s="2">
        <f>MONTH([1]retail_sales_cleaned_dataset!B159)</f>
        <v>2</v>
      </c>
      <c r="L159" s="2">
        <f>YEAR([1]retail_sales_cleaned_dataset!B159)</f>
        <v>2025</v>
      </c>
      <c r="M159" s="2" t="str">
        <f t="shared" si="5"/>
        <v>36-45</v>
      </c>
    </row>
    <row r="160" spans="1:13" x14ac:dyDescent="0.25">
      <c r="A160" s="2">
        <v>159</v>
      </c>
      <c r="B160" s="1">
        <v>45716</v>
      </c>
      <c r="C160" t="s">
        <v>118</v>
      </c>
      <c r="D160" t="s">
        <v>9</v>
      </c>
      <c r="E160">
        <v>26</v>
      </c>
      <c r="F160" s="2" t="s">
        <v>13</v>
      </c>
      <c r="G160" s="2">
        <v>4</v>
      </c>
      <c r="H160" s="5">
        <v>50</v>
      </c>
      <c r="I160" s="5">
        <f t="shared" si="4"/>
        <v>200</v>
      </c>
      <c r="J160" s="2" t="str">
        <f>TEXT([1]retail_sales_cleaned_dataset!B160,"mmmm")</f>
        <v>February</v>
      </c>
      <c r="K160" s="2">
        <f>MONTH([1]retail_sales_cleaned_dataset!B160)</f>
        <v>2</v>
      </c>
      <c r="L160" s="2">
        <f>YEAR([1]retail_sales_cleaned_dataset!B160)</f>
        <v>2025</v>
      </c>
      <c r="M160" s="2" t="str">
        <f t="shared" si="5"/>
        <v>26-35</v>
      </c>
    </row>
    <row r="161" spans="1:13" x14ac:dyDescent="0.25">
      <c r="A161" s="2">
        <v>160</v>
      </c>
      <c r="B161" s="1">
        <v>45716</v>
      </c>
      <c r="C161" t="s">
        <v>85</v>
      </c>
      <c r="D161" t="s">
        <v>12</v>
      </c>
      <c r="E161">
        <v>43</v>
      </c>
      <c r="F161" s="2" t="s">
        <v>13</v>
      </c>
      <c r="G161" s="2">
        <v>2</v>
      </c>
      <c r="H161" s="5">
        <v>50</v>
      </c>
      <c r="I161" s="5">
        <f t="shared" si="4"/>
        <v>100</v>
      </c>
      <c r="J161" s="2" t="str">
        <f>TEXT([1]retail_sales_cleaned_dataset!B161,"mmmm")</f>
        <v>February</v>
      </c>
      <c r="K161" s="2">
        <f>MONTH([1]retail_sales_cleaned_dataset!B161)</f>
        <v>2</v>
      </c>
      <c r="L161" s="2">
        <f>YEAR([1]retail_sales_cleaned_dataset!B161)</f>
        <v>2025</v>
      </c>
      <c r="M161" s="2" t="str">
        <f t="shared" si="5"/>
        <v>36-45</v>
      </c>
    </row>
    <row r="162" spans="1:13" x14ac:dyDescent="0.25">
      <c r="A162" s="2">
        <v>161</v>
      </c>
      <c r="B162" s="1">
        <v>45716</v>
      </c>
      <c r="C162" t="s">
        <v>119</v>
      </c>
      <c r="D162" t="s">
        <v>9</v>
      </c>
      <c r="E162">
        <v>64</v>
      </c>
      <c r="F162" s="2" t="s">
        <v>10</v>
      </c>
      <c r="G162" s="2">
        <v>2</v>
      </c>
      <c r="H162" s="5">
        <v>500</v>
      </c>
      <c r="I162" s="5">
        <f t="shared" si="4"/>
        <v>1000</v>
      </c>
      <c r="J162" s="2" t="str">
        <f>TEXT([1]retail_sales_cleaned_dataset!B162,"mmmm")</f>
        <v>February</v>
      </c>
      <c r="K162" s="2">
        <f>MONTH([1]retail_sales_cleaned_dataset!B162)</f>
        <v>2</v>
      </c>
      <c r="L162" s="2">
        <f>YEAR([1]retail_sales_cleaned_dataset!B162)</f>
        <v>2025</v>
      </c>
      <c r="M162" s="2" t="str">
        <f t="shared" si="5"/>
        <v>46+</v>
      </c>
    </row>
    <row r="163" spans="1:13" x14ac:dyDescent="0.25">
      <c r="A163" s="2">
        <v>162</v>
      </c>
      <c r="B163" s="1">
        <v>45717</v>
      </c>
      <c r="C163" t="s">
        <v>78</v>
      </c>
      <c r="D163" t="s">
        <v>9</v>
      </c>
      <c r="E163">
        <v>39</v>
      </c>
      <c r="F163" s="2" t="s">
        <v>13</v>
      </c>
      <c r="G163" s="2">
        <v>2</v>
      </c>
      <c r="H163" s="5">
        <v>30</v>
      </c>
      <c r="I163" s="5">
        <f t="shared" si="4"/>
        <v>60</v>
      </c>
      <c r="J163" s="2" t="str">
        <f>TEXT([1]retail_sales_cleaned_dataset!B163,"mmmm")</f>
        <v>March</v>
      </c>
      <c r="K163" s="2">
        <f>MONTH([1]retail_sales_cleaned_dataset!B163)</f>
        <v>3</v>
      </c>
      <c r="L163" s="2">
        <f>YEAR([1]retail_sales_cleaned_dataset!B163)</f>
        <v>2025</v>
      </c>
      <c r="M163" s="2" t="str">
        <f t="shared" si="5"/>
        <v>36-45</v>
      </c>
    </row>
    <row r="164" spans="1:13" x14ac:dyDescent="0.25">
      <c r="A164" s="2">
        <v>163</v>
      </c>
      <c r="B164" s="1">
        <v>45717</v>
      </c>
      <c r="C164" t="s">
        <v>25</v>
      </c>
      <c r="D164" t="s">
        <v>12</v>
      </c>
      <c r="E164">
        <v>64</v>
      </c>
      <c r="F164" s="2" t="s">
        <v>13</v>
      </c>
      <c r="G164" s="2">
        <v>3</v>
      </c>
      <c r="H164" s="5">
        <v>50</v>
      </c>
      <c r="I164" s="5">
        <f t="shared" si="4"/>
        <v>150</v>
      </c>
      <c r="J164" s="2" t="str">
        <f>TEXT([1]retail_sales_cleaned_dataset!B164,"mmmm")</f>
        <v>March</v>
      </c>
      <c r="K164" s="2">
        <f>MONTH([1]retail_sales_cleaned_dataset!B164)</f>
        <v>3</v>
      </c>
      <c r="L164" s="2">
        <f>YEAR([1]retail_sales_cleaned_dataset!B164)</f>
        <v>2025</v>
      </c>
      <c r="M164" s="2" t="str">
        <f t="shared" si="5"/>
        <v>46+</v>
      </c>
    </row>
    <row r="165" spans="1:13" x14ac:dyDescent="0.25">
      <c r="A165" s="2">
        <v>164</v>
      </c>
      <c r="B165" s="1">
        <v>45717</v>
      </c>
      <c r="C165" t="s">
        <v>120</v>
      </c>
      <c r="D165" t="s">
        <v>12</v>
      </c>
      <c r="E165">
        <v>47</v>
      </c>
      <c r="F165" s="2" t="s">
        <v>10</v>
      </c>
      <c r="G165" s="2">
        <v>3</v>
      </c>
      <c r="H165" s="5">
        <v>500</v>
      </c>
      <c r="I165" s="5">
        <f t="shared" si="4"/>
        <v>1500</v>
      </c>
      <c r="J165" s="2" t="str">
        <f>TEXT([1]retail_sales_cleaned_dataset!B165,"mmmm")</f>
        <v>March</v>
      </c>
      <c r="K165" s="2">
        <f>MONTH([1]retail_sales_cleaned_dataset!B165)</f>
        <v>3</v>
      </c>
      <c r="L165" s="2">
        <f>YEAR([1]retail_sales_cleaned_dataset!B165)</f>
        <v>2025</v>
      </c>
      <c r="M165" s="2" t="str">
        <f t="shared" si="5"/>
        <v>46+</v>
      </c>
    </row>
    <row r="166" spans="1:13" x14ac:dyDescent="0.25">
      <c r="A166" s="2">
        <v>165</v>
      </c>
      <c r="B166" s="1">
        <v>45718</v>
      </c>
      <c r="C166" t="s">
        <v>121</v>
      </c>
      <c r="D166" t="s">
        <v>12</v>
      </c>
      <c r="E166">
        <v>47</v>
      </c>
      <c r="F166" s="2" t="s">
        <v>13</v>
      </c>
      <c r="G166" s="2">
        <v>4</v>
      </c>
      <c r="H166" s="5">
        <v>300</v>
      </c>
      <c r="I166" s="5">
        <f t="shared" si="4"/>
        <v>1200</v>
      </c>
      <c r="J166" s="2" t="str">
        <f>TEXT([1]retail_sales_cleaned_dataset!B166,"mmmm")</f>
        <v>March</v>
      </c>
      <c r="K166" s="2">
        <f>MONTH([1]retail_sales_cleaned_dataset!B166)</f>
        <v>3</v>
      </c>
      <c r="L166" s="2">
        <f>YEAR([1]retail_sales_cleaned_dataset!B166)</f>
        <v>2025</v>
      </c>
      <c r="M166" s="2" t="str">
        <f t="shared" si="5"/>
        <v>46+</v>
      </c>
    </row>
    <row r="167" spans="1:13" x14ac:dyDescent="0.25">
      <c r="A167" s="2">
        <v>166</v>
      </c>
      <c r="B167" s="1">
        <v>45719</v>
      </c>
      <c r="C167" t="s">
        <v>122</v>
      </c>
      <c r="D167" t="s">
        <v>12</v>
      </c>
      <c r="E167">
        <v>51</v>
      </c>
      <c r="F167" s="2" t="s">
        <v>13</v>
      </c>
      <c r="G167" s="2">
        <v>4</v>
      </c>
      <c r="H167" s="5">
        <v>500</v>
      </c>
      <c r="I167" s="5">
        <f t="shared" si="4"/>
        <v>2000</v>
      </c>
      <c r="J167" s="2" t="str">
        <f>TEXT([1]retail_sales_cleaned_dataset!B167,"mmmm")</f>
        <v>March</v>
      </c>
      <c r="K167" s="2">
        <f>MONTH([1]retail_sales_cleaned_dataset!B167)</f>
        <v>3</v>
      </c>
      <c r="L167" s="2">
        <f>YEAR([1]retail_sales_cleaned_dataset!B167)</f>
        <v>2025</v>
      </c>
      <c r="M167" s="2" t="str">
        <f t="shared" si="5"/>
        <v>46+</v>
      </c>
    </row>
    <row r="168" spans="1:13" x14ac:dyDescent="0.25">
      <c r="A168" s="2">
        <v>167</v>
      </c>
      <c r="B168" s="1">
        <v>45719</v>
      </c>
      <c r="C168" t="s">
        <v>123</v>
      </c>
      <c r="D168" t="s">
        <v>12</v>
      </c>
      <c r="E168">
        <v>55</v>
      </c>
      <c r="F168" s="2" t="s">
        <v>13</v>
      </c>
      <c r="G168" s="2">
        <v>3</v>
      </c>
      <c r="H168" s="5">
        <v>50</v>
      </c>
      <c r="I168" s="5">
        <f t="shared" si="4"/>
        <v>150</v>
      </c>
      <c r="J168" s="2" t="str">
        <f>TEXT([1]retail_sales_cleaned_dataset!B168,"mmmm")</f>
        <v>March</v>
      </c>
      <c r="K168" s="2">
        <f>MONTH([1]retail_sales_cleaned_dataset!B168)</f>
        <v>3</v>
      </c>
      <c r="L168" s="2">
        <f>YEAR([1]retail_sales_cleaned_dataset!B168)</f>
        <v>2025</v>
      </c>
      <c r="M168" s="2" t="str">
        <f t="shared" si="5"/>
        <v>46+</v>
      </c>
    </row>
    <row r="169" spans="1:13" x14ac:dyDescent="0.25">
      <c r="A169" s="2">
        <v>168</v>
      </c>
      <c r="B169" s="1">
        <v>45719</v>
      </c>
      <c r="C169" t="s">
        <v>124</v>
      </c>
      <c r="D169" t="s">
        <v>12</v>
      </c>
      <c r="E169">
        <v>47</v>
      </c>
      <c r="F169" s="2" t="s">
        <v>13</v>
      </c>
      <c r="G169" s="2">
        <v>1</v>
      </c>
      <c r="H169" s="5">
        <v>300</v>
      </c>
      <c r="I169" s="5">
        <f t="shared" si="4"/>
        <v>300</v>
      </c>
      <c r="J169" s="2" t="str">
        <f>TEXT([1]retail_sales_cleaned_dataset!B169,"mmmm")</f>
        <v>March</v>
      </c>
      <c r="K169" s="2">
        <f>MONTH([1]retail_sales_cleaned_dataset!B169)</f>
        <v>3</v>
      </c>
      <c r="L169" s="2">
        <f>YEAR([1]retail_sales_cleaned_dataset!B169)</f>
        <v>2025</v>
      </c>
      <c r="M169" s="2" t="str">
        <f t="shared" si="5"/>
        <v>46+</v>
      </c>
    </row>
    <row r="170" spans="1:13" x14ac:dyDescent="0.25">
      <c r="A170" s="2">
        <v>169</v>
      </c>
      <c r="B170" s="1">
        <v>45719</v>
      </c>
      <c r="C170" t="s">
        <v>125</v>
      </c>
      <c r="D170" t="s">
        <v>12</v>
      </c>
      <c r="E170">
        <v>34</v>
      </c>
      <c r="F170" s="2" t="s">
        <v>10</v>
      </c>
      <c r="G170" s="2">
        <v>3</v>
      </c>
      <c r="H170" s="5">
        <v>500</v>
      </c>
      <c r="I170" s="5">
        <f t="shared" si="4"/>
        <v>1500</v>
      </c>
      <c r="J170" s="2" t="str">
        <f>TEXT([1]retail_sales_cleaned_dataset!B170,"mmmm")</f>
        <v>March</v>
      </c>
      <c r="K170" s="2">
        <f>MONTH([1]retail_sales_cleaned_dataset!B170)</f>
        <v>3</v>
      </c>
      <c r="L170" s="2">
        <f>YEAR([1]retail_sales_cleaned_dataset!B170)</f>
        <v>2025</v>
      </c>
      <c r="M170" s="2" t="str">
        <f t="shared" si="5"/>
        <v>26-35</v>
      </c>
    </row>
    <row r="171" spans="1:13" x14ac:dyDescent="0.25">
      <c r="A171" s="2">
        <v>170</v>
      </c>
      <c r="B171" s="1">
        <v>45719</v>
      </c>
      <c r="C171" t="s">
        <v>126</v>
      </c>
      <c r="D171" t="s">
        <v>12</v>
      </c>
      <c r="E171">
        <v>27</v>
      </c>
      <c r="F171" s="2" t="s">
        <v>13</v>
      </c>
      <c r="G171" s="2">
        <v>2</v>
      </c>
      <c r="H171" s="5">
        <v>25</v>
      </c>
      <c r="I171" s="5">
        <f t="shared" si="4"/>
        <v>50</v>
      </c>
      <c r="J171" s="2" t="str">
        <f>TEXT([1]retail_sales_cleaned_dataset!B171,"mmmm")</f>
        <v>March</v>
      </c>
      <c r="K171" s="2">
        <f>MONTH([1]retail_sales_cleaned_dataset!B171)</f>
        <v>3</v>
      </c>
      <c r="L171" s="2">
        <f>YEAR([1]retail_sales_cleaned_dataset!B171)</f>
        <v>2025</v>
      </c>
      <c r="M171" s="2" t="str">
        <f t="shared" si="5"/>
        <v>26-35</v>
      </c>
    </row>
    <row r="172" spans="1:13" x14ac:dyDescent="0.25">
      <c r="A172" s="2">
        <v>171</v>
      </c>
      <c r="B172" s="1">
        <v>45720</v>
      </c>
      <c r="C172" t="s">
        <v>127</v>
      </c>
      <c r="D172" t="s">
        <v>12</v>
      </c>
      <c r="E172">
        <v>22</v>
      </c>
      <c r="F172" s="2" t="s">
        <v>13</v>
      </c>
      <c r="G172" s="2">
        <v>3</v>
      </c>
      <c r="H172" s="5">
        <v>300</v>
      </c>
      <c r="I172" s="5">
        <f t="shared" si="4"/>
        <v>900</v>
      </c>
      <c r="J172" s="2" t="str">
        <f>TEXT([1]retail_sales_cleaned_dataset!B172,"mmmm")</f>
        <v>March</v>
      </c>
      <c r="K172" s="2">
        <f>MONTH([1]retail_sales_cleaned_dataset!B172)</f>
        <v>3</v>
      </c>
      <c r="L172" s="2">
        <f>YEAR([1]retail_sales_cleaned_dataset!B172)</f>
        <v>2025</v>
      </c>
      <c r="M172" s="2" t="str">
        <f t="shared" si="5"/>
        <v>18-25</v>
      </c>
    </row>
    <row r="173" spans="1:13" x14ac:dyDescent="0.25">
      <c r="A173" s="2">
        <v>172</v>
      </c>
      <c r="B173" s="1">
        <v>45721</v>
      </c>
      <c r="C173" t="s">
        <v>128</v>
      </c>
      <c r="D173" t="s">
        <v>9</v>
      </c>
      <c r="E173">
        <v>60</v>
      </c>
      <c r="F173" s="2" t="s">
        <v>10</v>
      </c>
      <c r="G173" s="2">
        <v>2</v>
      </c>
      <c r="H173" s="5">
        <v>25</v>
      </c>
      <c r="I173" s="5">
        <f t="shared" si="4"/>
        <v>50</v>
      </c>
      <c r="J173" s="2" t="str">
        <f>TEXT([1]retail_sales_cleaned_dataset!B173,"mmmm")</f>
        <v>March</v>
      </c>
      <c r="K173" s="2">
        <f>MONTH([1]retail_sales_cleaned_dataset!B173)</f>
        <v>3</v>
      </c>
      <c r="L173" s="2">
        <f>YEAR([1]retail_sales_cleaned_dataset!B173)</f>
        <v>2025</v>
      </c>
      <c r="M173" s="2" t="str">
        <f t="shared" si="5"/>
        <v>46+</v>
      </c>
    </row>
    <row r="174" spans="1:13" x14ac:dyDescent="0.25">
      <c r="A174" s="2">
        <v>173</v>
      </c>
      <c r="B174" s="1">
        <v>45721</v>
      </c>
      <c r="C174" t="s">
        <v>30</v>
      </c>
      <c r="D174" t="s">
        <v>9</v>
      </c>
      <c r="E174">
        <v>25</v>
      </c>
      <c r="F174" s="2" t="s">
        <v>15</v>
      </c>
      <c r="G174" s="2">
        <v>4</v>
      </c>
      <c r="H174" s="5">
        <v>30</v>
      </c>
      <c r="I174" s="5">
        <f t="shared" si="4"/>
        <v>120</v>
      </c>
      <c r="J174" s="2" t="str">
        <f>TEXT([1]retail_sales_cleaned_dataset!B174,"mmmm")</f>
        <v>March</v>
      </c>
      <c r="K174" s="2">
        <f>MONTH([1]retail_sales_cleaned_dataset!B174)</f>
        <v>3</v>
      </c>
      <c r="L174" s="2">
        <f>YEAR([1]retail_sales_cleaned_dataset!B174)</f>
        <v>2025</v>
      </c>
      <c r="M174" s="2" t="str">
        <f t="shared" si="5"/>
        <v>18-25</v>
      </c>
    </row>
    <row r="175" spans="1:13" x14ac:dyDescent="0.25">
      <c r="A175" s="2">
        <v>174</v>
      </c>
      <c r="B175" s="1">
        <v>45722</v>
      </c>
      <c r="C175" t="s">
        <v>129</v>
      </c>
      <c r="D175" t="s">
        <v>12</v>
      </c>
      <c r="E175">
        <v>21</v>
      </c>
      <c r="F175" s="2" t="s">
        <v>10</v>
      </c>
      <c r="G175" s="2">
        <v>1</v>
      </c>
      <c r="H175" s="5">
        <v>300</v>
      </c>
      <c r="I175" s="5">
        <f t="shared" si="4"/>
        <v>300</v>
      </c>
      <c r="J175" s="2" t="str">
        <f>TEXT([1]retail_sales_cleaned_dataset!B175,"mmmm")</f>
        <v>March</v>
      </c>
      <c r="K175" s="2">
        <f>MONTH([1]retail_sales_cleaned_dataset!B175)</f>
        <v>3</v>
      </c>
      <c r="L175" s="2">
        <f>YEAR([1]retail_sales_cleaned_dataset!B175)</f>
        <v>2025</v>
      </c>
      <c r="M175" s="2" t="str">
        <f t="shared" si="5"/>
        <v>18-25</v>
      </c>
    </row>
    <row r="176" spans="1:13" x14ac:dyDescent="0.25">
      <c r="A176" s="2">
        <v>175</v>
      </c>
      <c r="B176" s="1">
        <v>45722</v>
      </c>
      <c r="C176" t="s">
        <v>123</v>
      </c>
      <c r="D176" t="s">
        <v>12</v>
      </c>
      <c r="E176">
        <v>21</v>
      </c>
      <c r="F176" s="2" t="s">
        <v>15</v>
      </c>
      <c r="G176" s="2">
        <v>4</v>
      </c>
      <c r="H176" s="5">
        <v>25</v>
      </c>
      <c r="I176" s="5">
        <f t="shared" si="4"/>
        <v>100</v>
      </c>
      <c r="J176" s="2" t="str">
        <f>TEXT([1]retail_sales_cleaned_dataset!B176,"mmmm")</f>
        <v>March</v>
      </c>
      <c r="K176" s="2">
        <f>MONTH([1]retail_sales_cleaned_dataset!B176)</f>
        <v>3</v>
      </c>
      <c r="L176" s="2">
        <f>YEAR([1]retail_sales_cleaned_dataset!B176)</f>
        <v>2025</v>
      </c>
      <c r="M176" s="2" t="str">
        <f t="shared" si="5"/>
        <v>18-25</v>
      </c>
    </row>
    <row r="177" spans="1:13" x14ac:dyDescent="0.25">
      <c r="A177" s="2">
        <v>176</v>
      </c>
      <c r="B177" s="1">
        <v>45722</v>
      </c>
      <c r="C177" t="s">
        <v>130</v>
      </c>
      <c r="D177" t="s">
        <v>9</v>
      </c>
      <c r="E177">
        <v>46</v>
      </c>
      <c r="F177" s="2" t="s">
        <v>10</v>
      </c>
      <c r="G177" s="2">
        <v>2</v>
      </c>
      <c r="H177" s="5">
        <v>50</v>
      </c>
      <c r="I177" s="5">
        <f t="shared" si="4"/>
        <v>100</v>
      </c>
      <c r="J177" s="2" t="str">
        <f>TEXT([1]retail_sales_cleaned_dataset!B177,"mmmm")</f>
        <v>March</v>
      </c>
      <c r="K177" s="2">
        <f>MONTH([1]retail_sales_cleaned_dataset!B177)</f>
        <v>3</v>
      </c>
      <c r="L177" s="2">
        <f>YEAR([1]retail_sales_cleaned_dataset!B177)</f>
        <v>2025</v>
      </c>
      <c r="M177" s="2" t="str">
        <f t="shared" si="5"/>
        <v>46+</v>
      </c>
    </row>
    <row r="178" spans="1:13" x14ac:dyDescent="0.25">
      <c r="A178" s="2">
        <v>177</v>
      </c>
      <c r="B178" s="1">
        <v>45722</v>
      </c>
      <c r="C178" t="s">
        <v>125</v>
      </c>
      <c r="D178" t="s">
        <v>9</v>
      </c>
      <c r="E178">
        <v>36</v>
      </c>
      <c r="F178" s="2" t="s">
        <v>10</v>
      </c>
      <c r="G178" s="2">
        <v>2</v>
      </c>
      <c r="H178" s="5">
        <v>50</v>
      </c>
      <c r="I178" s="5">
        <f t="shared" si="4"/>
        <v>100</v>
      </c>
      <c r="J178" s="2" t="str">
        <f>TEXT([1]retail_sales_cleaned_dataset!B178,"mmmm")</f>
        <v>March</v>
      </c>
      <c r="K178" s="2">
        <f>MONTH([1]retail_sales_cleaned_dataset!B178)</f>
        <v>3</v>
      </c>
      <c r="L178" s="2">
        <f>YEAR([1]retail_sales_cleaned_dataset!B178)</f>
        <v>2025</v>
      </c>
      <c r="M178" s="2" t="str">
        <f t="shared" si="5"/>
        <v>36-45</v>
      </c>
    </row>
    <row r="179" spans="1:13" x14ac:dyDescent="0.25">
      <c r="A179" s="2">
        <v>178</v>
      </c>
      <c r="B179" s="1">
        <v>45723</v>
      </c>
      <c r="C179" t="s">
        <v>131</v>
      </c>
      <c r="D179" t="s">
        <v>12</v>
      </c>
      <c r="E179">
        <v>59</v>
      </c>
      <c r="F179" s="2" t="s">
        <v>13</v>
      </c>
      <c r="G179" s="2">
        <v>2</v>
      </c>
      <c r="H179" s="5">
        <v>30</v>
      </c>
      <c r="I179" s="5">
        <f t="shared" si="4"/>
        <v>60</v>
      </c>
      <c r="J179" s="2" t="str">
        <f>TEXT([1]retail_sales_cleaned_dataset!B179,"mmmm")</f>
        <v>March</v>
      </c>
      <c r="K179" s="2">
        <f>MONTH([1]retail_sales_cleaned_dataset!B179)</f>
        <v>3</v>
      </c>
      <c r="L179" s="2">
        <f>YEAR([1]retail_sales_cleaned_dataset!B179)</f>
        <v>2025</v>
      </c>
      <c r="M179" s="2" t="str">
        <f t="shared" si="5"/>
        <v>46+</v>
      </c>
    </row>
    <row r="180" spans="1:13" x14ac:dyDescent="0.25">
      <c r="A180" s="2">
        <v>179</v>
      </c>
      <c r="B180" s="1">
        <v>45723</v>
      </c>
      <c r="C180" t="s">
        <v>120</v>
      </c>
      <c r="D180" t="s">
        <v>9</v>
      </c>
      <c r="E180">
        <v>64</v>
      </c>
      <c r="F180" s="2" t="s">
        <v>15</v>
      </c>
      <c r="G180" s="2">
        <v>1</v>
      </c>
      <c r="H180" s="5">
        <v>300</v>
      </c>
      <c r="I180" s="5">
        <f t="shared" si="4"/>
        <v>300</v>
      </c>
      <c r="J180" s="2" t="str">
        <f>TEXT([1]retail_sales_cleaned_dataset!B180,"mmmm")</f>
        <v>March</v>
      </c>
      <c r="K180" s="2">
        <f>MONTH([1]retail_sales_cleaned_dataset!B180)</f>
        <v>3</v>
      </c>
      <c r="L180" s="2">
        <f>YEAR([1]retail_sales_cleaned_dataset!B180)</f>
        <v>2025</v>
      </c>
      <c r="M180" s="2" t="str">
        <f t="shared" si="5"/>
        <v>46+</v>
      </c>
    </row>
    <row r="181" spans="1:13" x14ac:dyDescent="0.25">
      <c r="A181" s="2">
        <v>180</v>
      </c>
      <c r="B181" s="1">
        <v>45723</v>
      </c>
      <c r="C181" t="s">
        <v>132</v>
      </c>
      <c r="D181" t="s">
        <v>12</v>
      </c>
      <c r="E181">
        <v>47</v>
      </c>
      <c r="F181" s="2" t="s">
        <v>13</v>
      </c>
      <c r="G181" s="2">
        <v>3</v>
      </c>
      <c r="H181" s="5">
        <v>300</v>
      </c>
      <c r="I181" s="5">
        <f t="shared" si="4"/>
        <v>900</v>
      </c>
      <c r="J181" s="2" t="str">
        <f>TEXT([1]retail_sales_cleaned_dataset!B181,"mmmm")</f>
        <v>March</v>
      </c>
      <c r="K181" s="2">
        <f>MONTH([1]retail_sales_cleaned_dataset!B181)</f>
        <v>3</v>
      </c>
      <c r="L181" s="2">
        <f>YEAR([1]retail_sales_cleaned_dataset!B181)</f>
        <v>2025</v>
      </c>
      <c r="M181" s="2" t="str">
        <f t="shared" si="5"/>
        <v>46+</v>
      </c>
    </row>
    <row r="182" spans="1:13" x14ac:dyDescent="0.25">
      <c r="A182" s="2">
        <v>181</v>
      </c>
      <c r="B182" s="1">
        <v>45723</v>
      </c>
      <c r="C182" t="s">
        <v>101</v>
      </c>
      <c r="D182" t="s">
        <v>9</v>
      </c>
      <c r="E182">
        <v>18</v>
      </c>
      <c r="F182" s="2" t="s">
        <v>15</v>
      </c>
      <c r="G182" s="2">
        <v>4</v>
      </c>
      <c r="H182" s="5">
        <v>300</v>
      </c>
      <c r="I182" s="5">
        <f t="shared" si="4"/>
        <v>1200</v>
      </c>
      <c r="J182" s="2" t="str">
        <f>TEXT([1]retail_sales_cleaned_dataset!B182,"mmmm")</f>
        <v>March</v>
      </c>
      <c r="K182" s="2">
        <f>MONTH([1]retail_sales_cleaned_dataset!B182)</f>
        <v>3</v>
      </c>
      <c r="L182" s="2">
        <f>YEAR([1]retail_sales_cleaned_dataset!B182)</f>
        <v>2025</v>
      </c>
      <c r="M182" s="2" t="str">
        <f t="shared" si="5"/>
        <v>18-25</v>
      </c>
    </row>
    <row r="183" spans="1:13" x14ac:dyDescent="0.25">
      <c r="A183" s="2">
        <v>182</v>
      </c>
      <c r="B183" s="1">
        <v>45724</v>
      </c>
      <c r="C183" t="s">
        <v>133</v>
      </c>
      <c r="D183" t="s">
        <v>9</v>
      </c>
      <c r="E183">
        <v>32</v>
      </c>
      <c r="F183" s="2" t="s">
        <v>10</v>
      </c>
      <c r="G183" s="2">
        <v>4</v>
      </c>
      <c r="H183" s="5">
        <v>30</v>
      </c>
      <c r="I183" s="5">
        <f t="shared" si="4"/>
        <v>120</v>
      </c>
      <c r="J183" s="2" t="str">
        <f>TEXT([1]retail_sales_cleaned_dataset!B183,"mmmm")</f>
        <v>March</v>
      </c>
      <c r="K183" s="2">
        <f>MONTH([1]retail_sales_cleaned_dataset!B183)</f>
        <v>3</v>
      </c>
      <c r="L183" s="2">
        <f>YEAR([1]retail_sales_cleaned_dataset!B183)</f>
        <v>2025</v>
      </c>
      <c r="M183" s="2" t="str">
        <f t="shared" si="5"/>
        <v>26-35</v>
      </c>
    </row>
    <row r="184" spans="1:13" x14ac:dyDescent="0.25">
      <c r="A184" s="2">
        <v>183</v>
      </c>
      <c r="B184" s="1">
        <v>45725</v>
      </c>
      <c r="C184" t="s">
        <v>85</v>
      </c>
      <c r="D184" t="s">
        <v>12</v>
      </c>
      <c r="E184">
        <v>39</v>
      </c>
      <c r="F184" s="2" t="s">
        <v>10</v>
      </c>
      <c r="G184" s="2">
        <v>3</v>
      </c>
      <c r="H184" s="5">
        <v>300</v>
      </c>
      <c r="I184" s="5">
        <f t="shared" si="4"/>
        <v>900</v>
      </c>
      <c r="J184" s="2" t="str">
        <f>TEXT([1]retail_sales_cleaned_dataset!B184,"mmmm")</f>
        <v>March</v>
      </c>
      <c r="K184" s="2">
        <f>MONTH([1]retail_sales_cleaned_dataset!B184)</f>
        <v>3</v>
      </c>
      <c r="L184" s="2">
        <f>YEAR([1]retail_sales_cleaned_dataset!B184)</f>
        <v>2025</v>
      </c>
      <c r="M184" s="2" t="str">
        <f t="shared" si="5"/>
        <v>36-45</v>
      </c>
    </row>
    <row r="185" spans="1:13" x14ac:dyDescent="0.25">
      <c r="A185" s="2">
        <v>184</v>
      </c>
      <c r="B185" s="1">
        <v>45725</v>
      </c>
      <c r="C185" t="s">
        <v>134</v>
      </c>
      <c r="D185" t="s">
        <v>12</v>
      </c>
      <c r="E185">
        <v>43</v>
      </c>
      <c r="F185" s="2" t="s">
        <v>15</v>
      </c>
      <c r="G185" s="2">
        <v>4</v>
      </c>
      <c r="H185" s="5">
        <v>50</v>
      </c>
      <c r="I185" s="5">
        <f t="shared" si="4"/>
        <v>200</v>
      </c>
      <c r="J185" s="2" t="str">
        <f>TEXT([1]retail_sales_cleaned_dataset!B185,"mmmm")</f>
        <v>March</v>
      </c>
      <c r="K185" s="2">
        <f>MONTH([1]retail_sales_cleaned_dataset!B185)</f>
        <v>3</v>
      </c>
      <c r="L185" s="2">
        <f>YEAR([1]retail_sales_cleaned_dataset!B185)</f>
        <v>2025</v>
      </c>
      <c r="M185" s="2" t="str">
        <f t="shared" si="5"/>
        <v>36-45</v>
      </c>
    </row>
    <row r="186" spans="1:13" x14ac:dyDescent="0.25">
      <c r="A186" s="2">
        <v>185</v>
      </c>
      <c r="B186" s="1">
        <v>45725</v>
      </c>
      <c r="C186" t="s">
        <v>125</v>
      </c>
      <c r="D186" t="s">
        <v>9</v>
      </c>
      <c r="E186">
        <v>45</v>
      </c>
      <c r="F186" s="2" t="s">
        <v>13</v>
      </c>
      <c r="G186" s="2">
        <v>1</v>
      </c>
      <c r="H186" s="5">
        <v>25</v>
      </c>
      <c r="I186" s="5">
        <f t="shared" si="4"/>
        <v>25</v>
      </c>
      <c r="J186" s="2" t="str">
        <f>TEXT([1]retail_sales_cleaned_dataset!B186,"mmmm")</f>
        <v>March</v>
      </c>
      <c r="K186" s="2">
        <f>MONTH([1]retail_sales_cleaned_dataset!B186)</f>
        <v>3</v>
      </c>
      <c r="L186" s="2">
        <f>YEAR([1]retail_sales_cleaned_dataset!B186)</f>
        <v>2025</v>
      </c>
      <c r="M186" s="2" t="str">
        <f t="shared" si="5"/>
        <v>36-45</v>
      </c>
    </row>
    <row r="187" spans="1:13" x14ac:dyDescent="0.25">
      <c r="A187" s="2">
        <v>186</v>
      </c>
      <c r="B187" s="1">
        <v>45726</v>
      </c>
      <c r="C187" t="s">
        <v>135</v>
      </c>
      <c r="D187" t="s">
        <v>9</v>
      </c>
      <c r="E187">
        <v>62</v>
      </c>
      <c r="F187" s="2" t="s">
        <v>13</v>
      </c>
      <c r="G187" s="2">
        <v>4</v>
      </c>
      <c r="H187" s="5">
        <v>50</v>
      </c>
      <c r="I187" s="5">
        <f t="shared" si="4"/>
        <v>200</v>
      </c>
      <c r="J187" s="2" t="str">
        <f>TEXT([1]retail_sales_cleaned_dataset!B187,"mmmm")</f>
        <v>March</v>
      </c>
      <c r="K187" s="2">
        <f>MONTH([1]retail_sales_cleaned_dataset!B187)</f>
        <v>3</v>
      </c>
      <c r="L187" s="2">
        <f>YEAR([1]retail_sales_cleaned_dataset!B187)</f>
        <v>2025</v>
      </c>
      <c r="M187" s="2" t="str">
        <f t="shared" si="5"/>
        <v>46+</v>
      </c>
    </row>
    <row r="188" spans="1:13" x14ac:dyDescent="0.25">
      <c r="A188" s="2">
        <v>187</v>
      </c>
      <c r="B188" s="1">
        <v>45726</v>
      </c>
      <c r="C188" t="s">
        <v>125</v>
      </c>
      <c r="D188" t="s">
        <v>12</v>
      </c>
      <c r="E188">
        <v>43</v>
      </c>
      <c r="F188" s="2" t="s">
        <v>13</v>
      </c>
      <c r="G188" s="2">
        <v>2</v>
      </c>
      <c r="H188" s="5">
        <v>50</v>
      </c>
      <c r="I188" s="5">
        <f t="shared" si="4"/>
        <v>100</v>
      </c>
      <c r="J188" s="2" t="str">
        <f>TEXT([1]retail_sales_cleaned_dataset!B188,"mmmm")</f>
        <v>March</v>
      </c>
      <c r="K188" s="2">
        <f>MONTH([1]retail_sales_cleaned_dataset!B188)</f>
        <v>3</v>
      </c>
      <c r="L188" s="2">
        <f>YEAR([1]retail_sales_cleaned_dataset!B188)</f>
        <v>2025</v>
      </c>
      <c r="M188" s="2" t="str">
        <f t="shared" si="5"/>
        <v>36-45</v>
      </c>
    </row>
    <row r="189" spans="1:13" x14ac:dyDescent="0.25">
      <c r="A189" s="2">
        <v>188</v>
      </c>
      <c r="B189" s="1">
        <v>45727</v>
      </c>
      <c r="C189" t="s">
        <v>136</v>
      </c>
      <c r="D189" t="s">
        <v>9</v>
      </c>
      <c r="E189">
        <v>63</v>
      </c>
      <c r="F189" s="2" t="s">
        <v>13</v>
      </c>
      <c r="G189" s="2">
        <v>3</v>
      </c>
      <c r="H189" s="5">
        <v>25</v>
      </c>
      <c r="I189" s="5">
        <f t="shared" si="4"/>
        <v>75</v>
      </c>
      <c r="J189" s="2" t="str">
        <f>TEXT([1]retail_sales_cleaned_dataset!B189,"mmmm")</f>
        <v>March</v>
      </c>
      <c r="K189" s="2">
        <f>MONTH([1]retail_sales_cleaned_dataset!B189)</f>
        <v>3</v>
      </c>
      <c r="L189" s="2">
        <f>YEAR([1]retail_sales_cleaned_dataset!B189)</f>
        <v>2025</v>
      </c>
      <c r="M189" s="2" t="str">
        <f t="shared" si="5"/>
        <v>46+</v>
      </c>
    </row>
    <row r="190" spans="1:13" x14ac:dyDescent="0.25">
      <c r="A190" s="2">
        <v>189</v>
      </c>
      <c r="B190" s="1">
        <v>45728</v>
      </c>
      <c r="C190" t="s">
        <v>137</v>
      </c>
      <c r="D190" t="s">
        <v>12</v>
      </c>
      <c r="E190">
        <v>60</v>
      </c>
      <c r="F190" s="2" t="s">
        <v>10</v>
      </c>
      <c r="G190" s="2">
        <v>1</v>
      </c>
      <c r="H190" s="5">
        <v>50</v>
      </c>
      <c r="I190" s="5">
        <f t="shared" si="4"/>
        <v>50</v>
      </c>
      <c r="J190" s="2" t="str">
        <f>TEXT([1]retail_sales_cleaned_dataset!B190,"mmmm")</f>
        <v>March</v>
      </c>
      <c r="K190" s="2">
        <f>MONTH([1]retail_sales_cleaned_dataset!B190)</f>
        <v>3</v>
      </c>
      <c r="L190" s="2">
        <f>YEAR([1]retail_sales_cleaned_dataset!B190)</f>
        <v>2025</v>
      </c>
      <c r="M190" s="2" t="str">
        <f t="shared" si="5"/>
        <v>46+</v>
      </c>
    </row>
    <row r="191" spans="1:13" x14ac:dyDescent="0.25">
      <c r="A191" s="2">
        <v>190</v>
      </c>
      <c r="B191" s="1">
        <v>45728</v>
      </c>
      <c r="C191" t="s">
        <v>138</v>
      </c>
      <c r="D191" t="s">
        <v>9</v>
      </c>
      <c r="E191">
        <v>64</v>
      </c>
      <c r="F191" s="2" t="s">
        <v>10</v>
      </c>
      <c r="G191" s="2">
        <v>3</v>
      </c>
      <c r="H191" s="5">
        <v>30</v>
      </c>
      <c r="I191" s="5">
        <f t="shared" si="4"/>
        <v>90</v>
      </c>
      <c r="J191" s="2" t="str">
        <f>TEXT([1]retail_sales_cleaned_dataset!B191,"mmmm")</f>
        <v>March</v>
      </c>
      <c r="K191" s="2">
        <f>MONTH([1]retail_sales_cleaned_dataset!B191)</f>
        <v>3</v>
      </c>
      <c r="L191" s="2">
        <f>YEAR([1]retail_sales_cleaned_dataset!B191)</f>
        <v>2025</v>
      </c>
      <c r="M191" s="2" t="str">
        <f t="shared" si="5"/>
        <v>46+</v>
      </c>
    </row>
    <row r="192" spans="1:13" x14ac:dyDescent="0.25">
      <c r="A192" s="2">
        <v>191</v>
      </c>
      <c r="B192" s="1">
        <v>45729</v>
      </c>
      <c r="C192" t="s">
        <v>139</v>
      </c>
      <c r="D192" t="s">
        <v>9</v>
      </c>
      <c r="E192">
        <v>62</v>
      </c>
      <c r="F192" s="2" t="s">
        <v>10</v>
      </c>
      <c r="G192" s="2">
        <v>1</v>
      </c>
      <c r="H192" s="5">
        <v>25</v>
      </c>
      <c r="I192" s="5">
        <f t="shared" si="4"/>
        <v>25</v>
      </c>
      <c r="J192" s="2" t="str">
        <f>TEXT([1]retail_sales_cleaned_dataset!B192,"mmmm")</f>
        <v>March</v>
      </c>
      <c r="K192" s="2">
        <f>MONTH([1]retail_sales_cleaned_dataset!B192)</f>
        <v>3</v>
      </c>
      <c r="L192" s="2">
        <f>YEAR([1]retail_sales_cleaned_dataset!B192)</f>
        <v>2025</v>
      </c>
      <c r="M192" s="2" t="str">
        <f t="shared" si="5"/>
        <v>46+</v>
      </c>
    </row>
    <row r="193" spans="1:13" x14ac:dyDescent="0.25">
      <c r="A193" s="2">
        <v>192</v>
      </c>
      <c r="B193" s="1">
        <v>45729</v>
      </c>
      <c r="C193" t="s">
        <v>140</v>
      </c>
      <c r="D193" t="s">
        <v>9</v>
      </c>
      <c r="E193">
        <v>35</v>
      </c>
      <c r="F193" s="2" t="s">
        <v>10</v>
      </c>
      <c r="G193" s="2">
        <v>2</v>
      </c>
      <c r="H193" s="5">
        <v>50</v>
      </c>
      <c r="I193" s="5">
        <f t="shared" si="4"/>
        <v>100</v>
      </c>
      <c r="J193" s="2" t="str">
        <f>TEXT([1]retail_sales_cleaned_dataset!B193,"mmmm")</f>
        <v>March</v>
      </c>
      <c r="K193" s="2">
        <f>MONTH([1]retail_sales_cleaned_dataset!B193)</f>
        <v>3</v>
      </c>
      <c r="L193" s="2">
        <f>YEAR([1]retail_sales_cleaned_dataset!B193)</f>
        <v>2025</v>
      </c>
      <c r="M193" s="2" t="str">
        <f t="shared" si="5"/>
        <v>26-35</v>
      </c>
    </row>
    <row r="194" spans="1:13" x14ac:dyDescent="0.25">
      <c r="A194" s="2">
        <v>193</v>
      </c>
      <c r="B194" s="1">
        <v>45729</v>
      </c>
      <c r="C194" t="s">
        <v>141</v>
      </c>
      <c r="D194" t="s">
        <v>12</v>
      </c>
      <c r="E194">
        <v>54</v>
      </c>
      <c r="F194" s="2" t="s">
        <v>10</v>
      </c>
      <c r="G194" s="2">
        <v>3</v>
      </c>
      <c r="H194" s="5">
        <v>500</v>
      </c>
      <c r="I194" s="5">
        <f t="shared" ref="I194:I257" si="6">G194*H194</f>
        <v>1500</v>
      </c>
      <c r="J194" s="2" t="str">
        <f>TEXT([1]retail_sales_cleaned_dataset!B194,"mmmm")</f>
        <v>March</v>
      </c>
      <c r="K194" s="2">
        <f>MONTH([1]retail_sales_cleaned_dataset!B194)</f>
        <v>3</v>
      </c>
      <c r="L194" s="2">
        <f>YEAR([1]retail_sales_cleaned_dataset!B194)</f>
        <v>2025</v>
      </c>
      <c r="M194" s="2" t="str">
        <f t="shared" ref="M194:M257" si="7">IF(E194&lt;=25,"18-25",IF(E194&lt;=35,"26-35",IF(E194&lt;=45,"36-45","46+")))</f>
        <v>46+</v>
      </c>
    </row>
    <row r="195" spans="1:13" x14ac:dyDescent="0.25">
      <c r="A195" s="2">
        <v>194</v>
      </c>
      <c r="B195" s="1">
        <v>45731</v>
      </c>
      <c r="C195" t="s">
        <v>142</v>
      </c>
      <c r="D195" t="s">
        <v>9</v>
      </c>
      <c r="E195">
        <v>45</v>
      </c>
      <c r="F195" s="2" t="s">
        <v>13</v>
      </c>
      <c r="G195" s="2">
        <v>4</v>
      </c>
      <c r="H195" s="5">
        <v>50</v>
      </c>
      <c r="I195" s="5">
        <f t="shared" si="6"/>
        <v>200</v>
      </c>
      <c r="J195" s="2" t="str">
        <f>TEXT([1]retail_sales_cleaned_dataset!B195,"mmmm")</f>
        <v>March</v>
      </c>
      <c r="K195" s="2">
        <f>MONTH([1]retail_sales_cleaned_dataset!B195)</f>
        <v>3</v>
      </c>
      <c r="L195" s="2">
        <f>YEAR([1]retail_sales_cleaned_dataset!B195)</f>
        <v>2025</v>
      </c>
      <c r="M195" s="2" t="str">
        <f t="shared" si="7"/>
        <v>36-45</v>
      </c>
    </row>
    <row r="196" spans="1:13" x14ac:dyDescent="0.25">
      <c r="A196" s="2">
        <v>195</v>
      </c>
      <c r="B196" s="1">
        <v>45733</v>
      </c>
      <c r="C196" t="s">
        <v>143</v>
      </c>
      <c r="D196" t="s">
        <v>9</v>
      </c>
      <c r="E196">
        <v>27</v>
      </c>
      <c r="F196" s="2" t="s">
        <v>13</v>
      </c>
      <c r="G196" s="2">
        <v>1</v>
      </c>
      <c r="H196" s="5">
        <v>30</v>
      </c>
      <c r="I196" s="5">
        <f t="shared" si="6"/>
        <v>30</v>
      </c>
      <c r="J196" s="2" t="str">
        <f>TEXT([1]retail_sales_cleaned_dataset!B196,"mmmm")</f>
        <v>March</v>
      </c>
      <c r="K196" s="2">
        <f>MONTH([1]retail_sales_cleaned_dataset!B196)</f>
        <v>3</v>
      </c>
      <c r="L196" s="2">
        <f>YEAR([1]retail_sales_cleaned_dataset!B196)</f>
        <v>2025</v>
      </c>
      <c r="M196" s="2" t="str">
        <f t="shared" si="7"/>
        <v>26-35</v>
      </c>
    </row>
    <row r="197" spans="1:13" x14ac:dyDescent="0.25">
      <c r="A197" s="2">
        <v>196</v>
      </c>
      <c r="B197" s="1">
        <v>45733</v>
      </c>
      <c r="C197" t="s">
        <v>144</v>
      </c>
      <c r="D197" t="s">
        <v>9</v>
      </c>
      <c r="E197">
        <v>39</v>
      </c>
      <c r="F197" s="2" t="s">
        <v>13</v>
      </c>
      <c r="G197" s="2">
        <v>3</v>
      </c>
      <c r="H197" s="5">
        <v>300</v>
      </c>
      <c r="I197" s="5">
        <f t="shared" si="6"/>
        <v>900</v>
      </c>
      <c r="J197" s="2" t="str">
        <f>TEXT([1]retail_sales_cleaned_dataset!B197,"mmmm")</f>
        <v>March</v>
      </c>
      <c r="K197" s="2">
        <f>MONTH([1]retail_sales_cleaned_dataset!B197)</f>
        <v>3</v>
      </c>
      <c r="L197" s="2">
        <f>YEAR([1]retail_sales_cleaned_dataset!B197)</f>
        <v>2025</v>
      </c>
      <c r="M197" s="2" t="str">
        <f t="shared" si="7"/>
        <v>36-45</v>
      </c>
    </row>
    <row r="198" spans="1:13" x14ac:dyDescent="0.25">
      <c r="A198" s="2">
        <v>197</v>
      </c>
      <c r="B198" s="1">
        <v>45733</v>
      </c>
      <c r="C198" t="s">
        <v>145</v>
      </c>
      <c r="D198" t="s">
        <v>12</v>
      </c>
      <c r="E198">
        <v>42</v>
      </c>
      <c r="F198" s="2" t="s">
        <v>13</v>
      </c>
      <c r="G198" s="2">
        <v>4</v>
      </c>
      <c r="H198" s="5">
        <v>50</v>
      </c>
      <c r="I198" s="5">
        <f t="shared" si="6"/>
        <v>200</v>
      </c>
      <c r="J198" s="2" t="str">
        <f>TEXT([1]retail_sales_cleaned_dataset!B198,"mmmm")</f>
        <v>March</v>
      </c>
      <c r="K198" s="2">
        <f>MONTH([1]retail_sales_cleaned_dataset!B198)</f>
        <v>3</v>
      </c>
      <c r="L198" s="2">
        <f>YEAR([1]retail_sales_cleaned_dataset!B198)</f>
        <v>2025</v>
      </c>
      <c r="M198" s="2" t="str">
        <f t="shared" si="7"/>
        <v>36-45</v>
      </c>
    </row>
    <row r="199" spans="1:13" x14ac:dyDescent="0.25">
      <c r="A199" s="2">
        <v>198</v>
      </c>
      <c r="B199" s="1">
        <v>45734</v>
      </c>
      <c r="C199" t="s">
        <v>121</v>
      </c>
      <c r="D199" t="s">
        <v>9</v>
      </c>
      <c r="E199">
        <v>42</v>
      </c>
      <c r="F199" s="2" t="s">
        <v>10</v>
      </c>
      <c r="G199" s="2">
        <v>3</v>
      </c>
      <c r="H199" s="5">
        <v>300</v>
      </c>
      <c r="I199" s="5">
        <f t="shared" si="6"/>
        <v>900</v>
      </c>
      <c r="J199" s="2" t="str">
        <f>TEXT([1]retail_sales_cleaned_dataset!B199,"mmmm")</f>
        <v>March</v>
      </c>
      <c r="K199" s="2">
        <f>MONTH([1]retail_sales_cleaned_dataset!B199)</f>
        <v>3</v>
      </c>
      <c r="L199" s="2">
        <f>YEAR([1]retail_sales_cleaned_dataset!B199)</f>
        <v>2025</v>
      </c>
      <c r="M199" s="2" t="str">
        <f t="shared" si="7"/>
        <v>36-45</v>
      </c>
    </row>
    <row r="200" spans="1:13" x14ac:dyDescent="0.25">
      <c r="A200" s="2">
        <v>199</v>
      </c>
      <c r="B200" s="1">
        <v>45734</v>
      </c>
      <c r="C200" t="s">
        <v>146</v>
      </c>
      <c r="D200" t="s">
        <v>9</v>
      </c>
      <c r="E200">
        <v>27</v>
      </c>
      <c r="F200" s="2" t="s">
        <v>10</v>
      </c>
      <c r="G200" s="2">
        <v>3</v>
      </c>
      <c r="H200" s="5">
        <v>500</v>
      </c>
      <c r="I200" s="5">
        <f t="shared" si="6"/>
        <v>1500</v>
      </c>
      <c r="J200" s="2" t="str">
        <f>TEXT([1]retail_sales_cleaned_dataset!B200,"mmmm")</f>
        <v>March</v>
      </c>
      <c r="K200" s="2">
        <f>MONTH([1]retail_sales_cleaned_dataset!B200)</f>
        <v>3</v>
      </c>
      <c r="L200" s="2">
        <f>YEAR([1]retail_sales_cleaned_dataset!B200)</f>
        <v>2025</v>
      </c>
      <c r="M200" s="2" t="str">
        <f t="shared" si="7"/>
        <v>26-35</v>
      </c>
    </row>
    <row r="201" spans="1:13" x14ac:dyDescent="0.25">
      <c r="A201" s="2">
        <v>200</v>
      </c>
      <c r="B201" s="1">
        <v>45735</v>
      </c>
      <c r="C201" t="s">
        <v>30</v>
      </c>
      <c r="D201" t="s">
        <v>9</v>
      </c>
      <c r="E201">
        <v>20</v>
      </c>
      <c r="F201" s="2" t="s">
        <v>10</v>
      </c>
      <c r="G201" s="2">
        <v>3</v>
      </c>
      <c r="H201" s="5">
        <v>50</v>
      </c>
      <c r="I201" s="5">
        <f t="shared" si="6"/>
        <v>150</v>
      </c>
      <c r="J201" s="2" t="str">
        <f>TEXT([1]retail_sales_cleaned_dataset!B201,"mmmm")</f>
        <v>March</v>
      </c>
      <c r="K201" s="2">
        <f>MONTH([1]retail_sales_cleaned_dataset!B201)</f>
        <v>3</v>
      </c>
      <c r="L201" s="2">
        <f>YEAR([1]retail_sales_cleaned_dataset!B201)</f>
        <v>2025</v>
      </c>
      <c r="M201" s="2" t="str">
        <f t="shared" si="7"/>
        <v>18-25</v>
      </c>
    </row>
    <row r="202" spans="1:13" x14ac:dyDescent="0.25">
      <c r="A202" s="2">
        <v>201</v>
      </c>
      <c r="B202" s="1">
        <v>45735</v>
      </c>
      <c r="C202" t="s">
        <v>147</v>
      </c>
      <c r="D202" t="s">
        <v>9</v>
      </c>
      <c r="E202">
        <v>64</v>
      </c>
      <c r="F202" s="2" t="s">
        <v>15</v>
      </c>
      <c r="G202" s="2">
        <v>1</v>
      </c>
      <c r="H202" s="5">
        <v>25</v>
      </c>
      <c r="I202" s="5">
        <f t="shared" si="6"/>
        <v>25</v>
      </c>
      <c r="J202" s="2" t="str">
        <f>TEXT([1]retail_sales_cleaned_dataset!B202,"mmmm")</f>
        <v>March</v>
      </c>
      <c r="K202" s="2">
        <f>MONTH([1]retail_sales_cleaned_dataset!B202)</f>
        <v>3</v>
      </c>
      <c r="L202" s="2">
        <f>YEAR([1]retail_sales_cleaned_dataset!B202)</f>
        <v>2025</v>
      </c>
      <c r="M202" s="2" t="str">
        <f t="shared" si="7"/>
        <v>46+</v>
      </c>
    </row>
    <row r="203" spans="1:13" x14ac:dyDescent="0.25">
      <c r="A203" s="2">
        <v>202</v>
      </c>
      <c r="B203" s="1">
        <v>45736</v>
      </c>
      <c r="C203" t="s">
        <v>125</v>
      </c>
      <c r="D203" t="s">
        <v>9</v>
      </c>
      <c r="E203">
        <v>64</v>
      </c>
      <c r="F203" s="2" t="s">
        <v>13</v>
      </c>
      <c r="G203" s="2">
        <v>4</v>
      </c>
      <c r="H203" s="5">
        <v>300</v>
      </c>
      <c r="I203" s="5">
        <f t="shared" si="6"/>
        <v>1200</v>
      </c>
      <c r="J203" s="2" t="str">
        <f>TEXT([1]retail_sales_cleaned_dataset!B203,"mmmm")</f>
        <v>March</v>
      </c>
      <c r="K203" s="2">
        <f>MONTH([1]retail_sales_cleaned_dataset!B203)</f>
        <v>3</v>
      </c>
      <c r="L203" s="2">
        <f>YEAR([1]retail_sales_cleaned_dataset!B203)</f>
        <v>2025</v>
      </c>
      <c r="M203" s="2" t="str">
        <f t="shared" si="7"/>
        <v>46+</v>
      </c>
    </row>
    <row r="204" spans="1:13" x14ac:dyDescent="0.25">
      <c r="A204" s="2">
        <v>203</v>
      </c>
      <c r="B204" s="1">
        <v>45736</v>
      </c>
      <c r="C204" t="s">
        <v>148</v>
      </c>
      <c r="D204" t="s">
        <v>9</v>
      </c>
      <c r="E204">
        <v>39</v>
      </c>
      <c r="F204" s="2" t="s">
        <v>13</v>
      </c>
      <c r="G204" s="2">
        <v>2</v>
      </c>
      <c r="H204" s="5">
        <v>500</v>
      </c>
      <c r="I204" s="5">
        <f t="shared" si="6"/>
        <v>1000</v>
      </c>
      <c r="J204" s="2" t="str">
        <f>TEXT([1]retail_sales_cleaned_dataset!B204,"mmmm")</f>
        <v>March</v>
      </c>
      <c r="K204" s="2">
        <f>MONTH([1]retail_sales_cleaned_dataset!B204)</f>
        <v>3</v>
      </c>
      <c r="L204" s="2">
        <f>YEAR([1]retail_sales_cleaned_dataset!B204)</f>
        <v>2025</v>
      </c>
      <c r="M204" s="2" t="str">
        <f t="shared" si="7"/>
        <v>36-45</v>
      </c>
    </row>
    <row r="205" spans="1:13" x14ac:dyDescent="0.25">
      <c r="A205" s="2">
        <v>204</v>
      </c>
      <c r="B205" s="1">
        <v>45736</v>
      </c>
      <c r="C205" t="s">
        <v>126</v>
      </c>
      <c r="D205" t="s">
        <v>12</v>
      </c>
      <c r="E205">
        <v>57</v>
      </c>
      <c r="F205" s="2" t="s">
        <v>10</v>
      </c>
      <c r="G205" s="2">
        <v>1</v>
      </c>
      <c r="H205" s="5">
        <v>25</v>
      </c>
      <c r="I205" s="5">
        <f t="shared" si="6"/>
        <v>25</v>
      </c>
      <c r="J205" s="2" t="str">
        <f>TEXT([1]retail_sales_cleaned_dataset!B205,"mmmm")</f>
        <v>March</v>
      </c>
      <c r="K205" s="2">
        <f>MONTH([1]retail_sales_cleaned_dataset!B205)</f>
        <v>3</v>
      </c>
      <c r="L205" s="2">
        <f>YEAR([1]retail_sales_cleaned_dataset!B205)</f>
        <v>2025</v>
      </c>
      <c r="M205" s="2" t="str">
        <f t="shared" si="7"/>
        <v>46+</v>
      </c>
    </row>
    <row r="206" spans="1:13" x14ac:dyDescent="0.25">
      <c r="A206" s="2">
        <v>205</v>
      </c>
      <c r="B206" s="1">
        <v>45736</v>
      </c>
      <c r="C206" t="s">
        <v>149</v>
      </c>
      <c r="D206" t="s">
        <v>9</v>
      </c>
      <c r="E206">
        <v>58</v>
      </c>
      <c r="F206" s="2" t="s">
        <v>13</v>
      </c>
      <c r="G206" s="2">
        <v>1</v>
      </c>
      <c r="H206" s="5">
        <v>25</v>
      </c>
      <c r="I206" s="5">
        <f t="shared" si="6"/>
        <v>25</v>
      </c>
      <c r="J206" s="2" t="str">
        <f>TEXT([1]retail_sales_cleaned_dataset!B206,"mmmm")</f>
        <v>March</v>
      </c>
      <c r="K206" s="2">
        <f>MONTH([1]retail_sales_cleaned_dataset!B206)</f>
        <v>3</v>
      </c>
      <c r="L206" s="2">
        <f>YEAR([1]retail_sales_cleaned_dataset!B206)</f>
        <v>2025</v>
      </c>
      <c r="M206" s="2" t="str">
        <f t="shared" si="7"/>
        <v>46+</v>
      </c>
    </row>
    <row r="207" spans="1:13" x14ac:dyDescent="0.25">
      <c r="A207" s="2">
        <v>206</v>
      </c>
      <c r="B207" s="1">
        <v>45736</v>
      </c>
      <c r="C207" t="s">
        <v>61</v>
      </c>
      <c r="D207" t="s">
        <v>9</v>
      </c>
      <c r="E207">
        <v>54</v>
      </c>
      <c r="F207" s="2" t="s">
        <v>13</v>
      </c>
      <c r="G207" s="2">
        <v>1</v>
      </c>
      <c r="H207" s="5">
        <v>25</v>
      </c>
      <c r="I207" s="5">
        <f t="shared" si="6"/>
        <v>25</v>
      </c>
      <c r="J207" s="2" t="str">
        <f>TEXT([1]retail_sales_cleaned_dataset!B207,"mmmm")</f>
        <v>March</v>
      </c>
      <c r="K207" s="2">
        <f>MONTH([1]retail_sales_cleaned_dataset!B207)</f>
        <v>3</v>
      </c>
      <c r="L207" s="2">
        <f>YEAR([1]retail_sales_cleaned_dataset!B207)</f>
        <v>2025</v>
      </c>
      <c r="M207" s="2" t="str">
        <f t="shared" si="7"/>
        <v>46+</v>
      </c>
    </row>
    <row r="208" spans="1:13" x14ac:dyDescent="0.25">
      <c r="A208" s="2">
        <v>207</v>
      </c>
      <c r="B208" s="1">
        <v>45737</v>
      </c>
      <c r="C208" t="s">
        <v>150</v>
      </c>
      <c r="D208" t="s">
        <v>12</v>
      </c>
      <c r="E208">
        <v>43</v>
      </c>
      <c r="F208" s="2" t="s">
        <v>10</v>
      </c>
      <c r="G208" s="2">
        <v>2</v>
      </c>
      <c r="H208" s="5">
        <v>25</v>
      </c>
      <c r="I208" s="5">
        <f t="shared" si="6"/>
        <v>50</v>
      </c>
      <c r="J208" s="2" t="str">
        <f>TEXT([1]retail_sales_cleaned_dataset!B208,"mmmm")</f>
        <v>March</v>
      </c>
      <c r="K208" s="2">
        <f>MONTH([1]retail_sales_cleaned_dataset!B208)</f>
        <v>3</v>
      </c>
      <c r="L208" s="2">
        <f>YEAR([1]retail_sales_cleaned_dataset!B208)</f>
        <v>2025</v>
      </c>
      <c r="M208" s="2" t="str">
        <f t="shared" si="7"/>
        <v>36-45</v>
      </c>
    </row>
    <row r="209" spans="1:13" x14ac:dyDescent="0.25">
      <c r="A209" s="2">
        <v>208</v>
      </c>
      <c r="B209" s="1">
        <v>45737</v>
      </c>
      <c r="C209" t="s">
        <v>151</v>
      </c>
      <c r="D209" t="s">
        <v>12</v>
      </c>
      <c r="E209">
        <v>51</v>
      </c>
      <c r="F209" s="2" t="s">
        <v>15</v>
      </c>
      <c r="G209" s="2">
        <v>4</v>
      </c>
      <c r="H209" s="5">
        <v>50</v>
      </c>
      <c r="I209" s="5">
        <f t="shared" si="6"/>
        <v>200</v>
      </c>
      <c r="J209" s="2" t="str">
        <f>TEXT([1]retail_sales_cleaned_dataset!B209,"mmmm")</f>
        <v>March</v>
      </c>
      <c r="K209" s="2">
        <f>MONTH([1]retail_sales_cleaned_dataset!B209)</f>
        <v>3</v>
      </c>
      <c r="L209" s="2">
        <f>YEAR([1]retail_sales_cleaned_dataset!B209)</f>
        <v>2025</v>
      </c>
      <c r="M209" s="2" t="str">
        <f t="shared" si="7"/>
        <v>46+</v>
      </c>
    </row>
    <row r="210" spans="1:13" x14ac:dyDescent="0.25">
      <c r="A210" s="2">
        <v>209</v>
      </c>
      <c r="B210" s="1">
        <v>45737</v>
      </c>
      <c r="C210" t="s">
        <v>152</v>
      </c>
      <c r="D210" t="s">
        <v>12</v>
      </c>
      <c r="E210">
        <v>50</v>
      </c>
      <c r="F210" s="2" t="s">
        <v>15</v>
      </c>
      <c r="G210" s="2">
        <v>4</v>
      </c>
      <c r="H210" s="5">
        <v>50</v>
      </c>
      <c r="I210" s="5">
        <f t="shared" si="6"/>
        <v>200</v>
      </c>
      <c r="J210" s="2" t="str">
        <f>TEXT([1]retail_sales_cleaned_dataset!B210,"mmmm")</f>
        <v>March</v>
      </c>
      <c r="K210" s="2">
        <f>MONTH([1]retail_sales_cleaned_dataset!B210)</f>
        <v>3</v>
      </c>
      <c r="L210" s="2">
        <f>YEAR([1]retail_sales_cleaned_dataset!B210)</f>
        <v>2025</v>
      </c>
      <c r="M210" s="2" t="str">
        <f t="shared" si="7"/>
        <v>46+</v>
      </c>
    </row>
    <row r="211" spans="1:13" x14ac:dyDescent="0.25">
      <c r="A211" s="2">
        <v>210</v>
      </c>
      <c r="B211" s="1">
        <v>45737</v>
      </c>
      <c r="C211" t="s">
        <v>153</v>
      </c>
      <c r="D211" t="s">
        <v>12</v>
      </c>
      <c r="E211">
        <v>39</v>
      </c>
      <c r="F211" s="2" t="s">
        <v>15</v>
      </c>
      <c r="G211" s="2">
        <v>4</v>
      </c>
      <c r="H211" s="5">
        <v>50</v>
      </c>
      <c r="I211" s="5">
        <f t="shared" si="6"/>
        <v>200</v>
      </c>
      <c r="J211" s="2" t="str">
        <f>TEXT([1]retail_sales_cleaned_dataset!B211,"mmmm")</f>
        <v>March</v>
      </c>
      <c r="K211" s="2">
        <f>MONTH([1]retail_sales_cleaned_dataset!B211)</f>
        <v>3</v>
      </c>
      <c r="L211" s="2">
        <f>YEAR([1]retail_sales_cleaned_dataset!B211)</f>
        <v>2025</v>
      </c>
      <c r="M211" s="2" t="str">
        <f t="shared" si="7"/>
        <v>36-45</v>
      </c>
    </row>
    <row r="212" spans="1:13" x14ac:dyDescent="0.25">
      <c r="A212" s="2">
        <v>211</v>
      </c>
      <c r="B212" s="1">
        <v>45738</v>
      </c>
      <c r="C212" t="s">
        <v>154</v>
      </c>
      <c r="D212" t="s">
        <v>12</v>
      </c>
      <c r="E212">
        <v>23</v>
      </c>
      <c r="F212" s="2" t="s">
        <v>10</v>
      </c>
      <c r="G212" s="2">
        <v>3</v>
      </c>
      <c r="H212" s="5">
        <v>500</v>
      </c>
      <c r="I212" s="5">
        <f t="shared" si="6"/>
        <v>1500</v>
      </c>
      <c r="J212" s="2" t="str">
        <f>TEXT([1]retail_sales_cleaned_dataset!B212,"mmmm")</f>
        <v>March</v>
      </c>
      <c r="K212" s="2">
        <f>MONTH([1]retail_sales_cleaned_dataset!B212)</f>
        <v>3</v>
      </c>
      <c r="L212" s="2">
        <f>YEAR([1]retail_sales_cleaned_dataset!B212)</f>
        <v>2025</v>
      </c>
      <c r="M212" s="2" t="str">
        <f t="shared" si="7"/>
        <v>18-25</v>
      </c>
    </row>
    <row r="213" spans="1:13" x14ac:dyDescent="0.25">
      <c r="A213" s="2">
        <v>212</v>
      </c>
      <c r="B213" s="1">
        <v>45738</v>
      </c>
      <c r="C213" t="s">
        <v>155</v>
      </c>
      <c r="D213" t="s">
        <v>9</v>
      </c>
      <c r="E213">
        <v>28</v>
      </c>
      <c r="F213" s="2" t="s">
        <v>13</v>
      </c>
      <c r="G213" s="2">
        <v>3</v>
      </c>
      <c r="H213" s="5">
        <v>500</v>
      </c>
      <c r="I213" s="5">
        <f t="shared" si="6"/>
        <v>1500</v>
      </c>
      <c r="J213" s="2" t="str">
        <f>TEXT([1]retail_sales_cleaned_dataset!B213,"mmmm")</f>
        <v>March</v>
      </c>
      <c r="K213" s="2">
        <f>MONTH([1]retail_sales_cleaned_dataset!B213)</f>
        <v>3</v>
      </c>
      <c r="L213" s="2">
        <f>YEAR([1]retail_sales_cleaned_dataset!B213)</f>
        <v>2025</v>
      </c>
      <c r="M213" s="2" t="str">
        <f t="shared" si="7"/>
        <v>26-35</v>
      </c>
    </row>
    <row r="214" spans="1:13" x14ac:dyDescent="0.25">
      <c r="A214" s="2">
        <v>213</v>
      </c>
      <c r="B214" s="1">
        <v>45738</v>
      </c>
      <c r="C214" t="s">
        <v>156</v>
      </c>
      <c r="D214" t="s">
        <v>12</v>
      </c>
      <c r="E214">
        <v>57</v>
      </c>
      <c r="F214" s="2" t="s">
        <v>10</v>
      </c>
      <c r="G214" s="2">
        <v>3</v>
      </c>
      <c r="H214" s="5">
        <v>500</v>
      </c>
      <c r="I214" s="5">
        <f t="shared" si="6"/>
        <v>1500</v>
      </c>
      <c r="J214" s="2" t="str">
        <f>TEXT([1]retail_sales_cleaned_dataset!B214,"mmmm")</f>
        <v>March</v>
      </c>
      <c r="K214" s="2">
        <f>MONTH([1]retail_sales_cleaned_dataset!B214)</f>
        <v>3</v>
      </c>
      <c r="L214" s="2">
        <f>YEAR([1]retail_sales_cleaned_dataset!B214)</f>
        <v>2025</v>
      </c>
      <c r="M214" s="2" t="str">
        <f t="shared" si="7"/>
        <v>46+</v>
      </c>
    </row>
    <row r="215" spans="1:13" x14ac:dyDescent="0.25">
      <c r="A215" s="2">
        <v>214</v>
      </c>
      <c r="B215" s="1">
        <v>45738</v>
      </c>
      <c r="C215" t="s">
        <v>157</v>
      </c>
      <c r="D215" t="s">
        <v>9</v>
      </c>
      <c r="E215">
        <v>19</v>
      </c>
      <c r="F215" s="2" t="s">
        <v>10</v>
      </c>
      <c r="G215" s="2">
        <v>2</v>
      </c>
      <c r="H215" s="5">
        <v>30</v>
      </c>
      <c r="I215" s="5">
        <f t="shared" si="6"/>
        <v>60</v>
      </c>
      <c r="J215" s="2" t="str">
        <f>TEXT([1]retail_sales_cleaned_dataset!B215,"mmmm")</f>
        <v>March</v>
      </c>
      <c r="K215" s="2">
        <f>MONTH([1]retail_sales_cleaned_dataset!B215)</f>
        <v>3</v>
      </c>
      <c r="L215" s="2">
        <f>YEAR([1]retail_sales_cleaned_dataset!B215)</f>
        <v>2025</v>
      </c>
      <c r="M215" s="2" t="str">
        <f t="shared" si="7"/>
        <v>18-25</v>
      </c>
    </row>
    <row r="216" spans="1:13" x14ac:dyDescent="0.25">
      <c r="A216" s="2">
        <v>215</v>
      </c>
      <c r="B216" s="1">
        <v>45738</v>
      </c>
      <c r="C216" t="s">
        <v>158</v>
      </c>
      <c r="D216" t="s">
        <v>12</v>
      </c>
      <c r="E216">
        <v>60</v>
      </c>
      <c r="F216" s="2" t="s">
        <v>13</v>
      </c>
      <c r="G216" s="2">
        <v>3</v>
      </c>
      <c r="H216" s="5">
        <v>500</v>
      </c>
      <c r="I216" s="5">
        <f t="shared" si="6"/>
        <v>1500</v>
      </c>
      <c r="J216" s="2" t="str">
        <f>TEXT([1]retail_sales_cleaned_dataset!B216,"mmmm")</f>
        <v>March</v>
      </c>
      <c r="K216" s="2">
        <f>MONTH([1]retail_sales_cleaned_dataset!B216)</f>
        <v>3</v>
      </c>
      <c r="L216" s="2">
        <f>YEAR([1]retail_sales_cleaned_dataset!B216)</f>
        <v>2025</v>
      </c>
      <c r="M216" s="2" t="str">
        <f t="shared" si="7"/>
        <v>46+</v>
      </c>
    </row>
    <row r="217" spans="1:13" x14ac:dyDescent="0.25">
      <c r="A217" s="2">
        <v>216</v>
      </c>
      <c r="B217" s="1">
        <v>45739</v>
      </c>
      <c r="C217" t="s">
        <v>159</v>
      </c>
      <c r="D217" t="s">
        <v>9</v>
      </c>
      <c r="E217">
        <v>34</v>
      </c>
      <c r="F217" s="2" t="s">
        <v>15</v>
      </c>
      <c r="G217" s="2">
        <v>2</v>
      </c>
      <c r="H217" s="5">
        <v>50</v>
      </c>
      <c r="I217" s="5">
        <f t="shared" si="6"/>
        <v>100</v>
      </c>
      <c r="J217" s="2" t="str">
        <f>TEXT([1]retail_sales_cleaned_dataset!B217,"mmmm")</f>
        <v>March</v>
      </c>
      <c r="K217" s="2">
        <f>MONTH([1]retail_sales_cleaned_dataset!B217)</f>
        <v>3</v>
      </c>
      <c r="L217" s="2">
        <f>YEAR([1]retail_sales_cleaned_dataset!B217)</f>
        <v>2025</v>
      </c>
      <c r="M217" s="2" t="str">
        <f t="shared" si="7"/>
        <v>26-35</v>
      </c>
    </row>
    <row r="218" spans="1:13" x14ac:dyDescent="0.25">
      <c r="A218" s="2">
        <v>217</v>
      </c>
      <c r="B218" s="1">
        <v>45739</v>
      </c>
      <c r="C218" t="s">
        <v>160</v>
      </c>
      <c r="D218" t="s">
        <v>12</v>
      </c>
      <c r="E218">
        <v>43</v>
      </c>
      <c r="F218" s="2" t="s">
        <v>15</v>
      </c>
      <c r="G218" s="2">
        <v>4</v>
      </c>
      <c r="H218" s="5">
        <v>50</v>
      </c>
      <c r="I218" s="5">
        <f t="shared" si="6"/>
        <v>200</v>
      </c>
      <c r="J218" s="2" t="str">
        <f>TEXT([1]retail_sales_cleaned_dataset!B218,"mmmm")</f>
        <v>March</v>
      </c>
      <c r="K218" s="2">
        <f>MONTH([1]retail_sales_cleaned_dataset!B218)</f>
        <v>3</v>
      </c>
      <c r="L218" s="2">
        <f>YEAR([1]retail_sales_cleaned_dataset!B218)</f>
        <v>2025</v>
      </c>
      <c r="M218" s="2" t="str">
        <f t="shared" si="7"/>
        <v>36-45</v>
      </c>
    </row>
    <row r="219" spans="1:13" x14ac:dyDescent="0.25">
      <c r="A219" s="2">
        <v>218</v>
      </c>
      <c r="B219" s="1">
        <v>45739</v>
      </c>
      <c r="C219" t="s">
        <v>161</v>
      </c>
      <c r="D219" t="s">
        <v>9</v>
      </c>
      <c r="E219">
        <v>53</v>
      </c>
      <c r="F219" s="2" t="s">
        <v>10</v>
      </c>
      <c r="G219" s="2">
        <v>3</v>
      </c>
      <c r="H219" s="5">
        <v>30</v>
      </c>
      <c r="I219" s="5">
        <f t="shared" si="6"/>
        <v>90</v>
      </c>
      <c r="J219" s="2" t="str">
        <f>TEXT([1]retail_sales_cleaned_dataset!B219,"mmmm")</f>
        <v>March</v>
      </c>
      <c r="K219" s="2">
        <f>MONTH([1]retail_sales_cleaned_dataset!B219)</f>
        <v>3</v>
      </c>
      <c r="L219" s="2">
        <f>YEAR([1]retail_sales_cleaned_dataset!B219)</f>
        <v>2025</v>
      </c>
      <c r="M219" s="2" t="str">
        <f t="shared" si="7"/>
        <v>46+</v>
      </c>
    </row>
    <row r="220" spans="1:13" x14ac:dyDescent="0.25">
      <c r="A220" s="2">
        <v>219</v>
      </c>
      <c r="B220" s="1">
        <v>45739</v>
      </c>
      <c r="C220" t="s">
        <v>162</v>
      </c>
      <c r="D220" t="s">
        <v>9</v>
      </c>
      <c r="E220">
        <v>18</v>
      </c>
      <c r="F220" s="2" t="s">
        <v>15</v>
      </c>
      <c r="G220" s="2">
        <v>3</v>
      </c>
      <c r="H220" s="5">
        <v>30</v>
      </c>
      <c r="I220" s="5">
        <f t="shared" si="6"/>
        <v>90</v>
      </c>
      <c r="J220" s="2" t="str">
        <f>TEXT([1]retail_sales_cleaned_dataset!B220,"mmmm")</f>
        <v>March</v>
      </c>
      <c r="K220" s="2">
        <f>MONTH([1]retail_sales_cleaned_dataset!B220)</f>
        <v>3</v>
      </c>
      <c r="L220" s="2">
        <f>YEAR([1]retail_sales_cleaned_dataset!B220)</f>
        <v>2025</v>
      </c>
      <c r="M220" s="2" t="str">
        <f t="shared" si="7"/>
        <v>18-25</v>
      </c>
    </row>
    <row r="221" spans="1:13" x14ac:dyDescent="0.25">
      <c r="A221" s="2">
        <v>220</v>
      </c>
      <c r="B221" s="1">
        <v>45740</v>
      </c>
      <c r="C221" t="s">
        <v>163</v>
      </c>
      <c r="D221" t="s">
        <v>12</v>
      </c>
      <c r="E221">
        <v>25</v>
      </c>
      <c r="F221" s="2" t="s">
        <v>10</v>
      </c>
      <c r="G221" s="2">
        <v>1</v>
      </c>
      <c r="H221" s="5">
        <v>500</v>
      </c>
      <c r="I221" s="5">
        <f t="shared" si="6"/>
        <v>500</v>
      </c>
      <c r="J221" s="2" t="str">
        <f>TEXT([1]retail_sales_cleaned_dataset!B221,"mmmm")</f>
        <v>March</v>
      </c>
      <c r="K221" s="2">
        <f>MONTH([1]retail_sales_cleaned_dataset!B221)</f>
        <v>3</v>
      </c>
      <c r="L221" s="2">
        <f>YEAR([1]retail_sales_cleaned_dataset!B221)</f>
        <v>2025</v>
      </c>
      <c r="M221" s="2" t="str">
        <f t="shared" si="7"/>
        <v>18-25</v>
      </c>
    </row>
    <row r="222" spans="1:13" x14ac:dyDescent="0.25">
      <c r="A222" s="2">
        <v>221</v>
      </c>
      <c r="B222" s="1">
        <v>45740</v>
      </c>
      <c r="C222" t="s">
        <v>164</v>
      </c>
      <c r="D222" t="s">
        <v>12</v>
      </c>
      <c r="E222">
        <v>52</v>
      </c>
      <c r="F222" s="2" t="s">
        <v>10</v>
      </c>
      <c r="G222" s="2">
        <v>2</v>
      </c>
      <c r="H222" s="5">
        <v>300</v>
      </c>
      <c r="I222" s="5">
        <f t="shared" si="6"/>
        <v>600</v>
      </c>
      <c r="J222" s="2" t="str">
        <f>TEXT([1]retail_sales_cleaned_dataset!B222,"mmmm")</f>
        <v>March</v>
      </c>
      <c r="K222" s="2">
        <f>MONTH([1]retail_sales_cleaned_dataset!B222)</f>
        <v>3</v>
      </c>
      <c r="L222" s="2">
        <f>YEAR([1]retail_sales_cleaned_dataset!B222)</f>
        <v>2025</v>
      </c>
      <c r="M222" s="2" t="str">
        <f t="shared" si="7"/>
        <v>46+</v>
      </c>
    </row>
    <row r="223" spans="1:13" x14ac:dyDescent="0.25">
      <c r="A223" s="2">
        <v>222</v>
      </c>
      <c r="B223" s="1">
        <v>45741</v>
      </c>
      <c r="C223" t="s">
        <v>165</v>
      </c>
      <c r="D223" t="s">
        <v>9</v>
      </c>
      <c r="E223">
        <v>32</v>
      </c>
      <c r="F223" s="2" t="s">
        <v>13</v>
      </c>
      <c r="G223" s="2">
        <v>4</v>
      </c>
      <c r="H223" s="5">
        <v>30</v>
      </c>
      <c r="I223" s="5">
        <f t="shared" si="6"/>
        <v>120</v>
      </c>
      <c r="J223" s="2" t="str">
        <f>TEXT([1]retail_sales_cleaned_dataset!B223,"mmmm")</f>
        <v>March</v>
      </c>
      <c r="K223" s="2">
        <f>MONTH([1]retail_sales_cleaned_dataset!B223)</f>
        <v>3</v>
      </c>
      <c r="L223" s="2">
        <f>YEAR([1]retail_sales_cleaned_dataset!B223)</f>
        <v>2025</v>
      </c>
      <c r="M223" s="2" t="str">
        <f t="shared" si="7"/>
        <v>26-35</v>
      </c>
    </row>
    <row r="224" spans="1:13" x14ac:dyDescent="0.25">
      <c r="A224" s="2">
        <v>223</v>
      </c>
      <c r="B224" s="1">
        <v>45741</v>
      </c>
      <c r="C224" t="s">
        <v>166</v>
      </c>
      <c r="D224" t="s">
        <v>9</v>
      </c>
      <c r="E224">
        <v>64</v>
      </c>
      <c r="F224" s="2" t="s">
        <v>13</v>
      </c>
      <c r="G224" s="2">
        <v>1</v>
      </c>
      <c r="H224" s="5">
        <v>25</v>
      </c>
      <c r="I224" s="5">
        <f t="shared" si="6"/>
        <v>25</v>
      </c>
      <c r="J224" s="2" t="str">
        <f>TEXT([1]retail_sales_cleaned_dataset!B224,"mmmm")</f>
        <v>March</v>
      </c>
      <c r="K224" s="2">
        <f>MONTH([1]retail_sales_cleaned_dataset!B224)</f>
        <v>3</v>
      </c>
      <c r="L224" s="2">
        <f>YEAR([1]retail_sales_cleaned_dataset!B224)</f>
        <v>2025</v>
      </c>
      <c r="M224" s="2" t="str">
        <f t="shared" si="7"/>
        <v>46+</v>
      </c>
    </row>
    <row r="225" spans="1:13" x14ac:dyDescent="0.25">
      <c r="A225" s="2">
        <v>224</v>
      </c>
      <c r="B225" s="1">
        <v>45741</v>
      </c>
      <c r="C225" t="s">
        <v>167</v>
      </c>
      <c r="D225" t="s">
        <v>12</v>
      </c>
      <c r="E225">
        <v>39</v>
      </c>
      <c r="F225" s="2" t="s">
        <v>13</v>
      </c>
      <c r="G225" s="2">
        <v>1</v>
      </c>
      <c r="H225" s="5">
        <v>50</v>
      </c>
      <c r="I225" s="5">
        <f t="shared" si="6"/>
        <v>50</v>
      </c>
      <c r="J225" s="2" t="str">
        <f>TEXT([1]retail_sales_cleaned_dataset!B225,"mmmm")</f>
        <v>March</v>
      </c>
      <c r="K225" s="2">
        <f>MONTH([1]retail_sales_cleaned_dataset!B225)</f>
        <v>3</v>
      </c>
      <c r="L225" s="2">
        <f>YEAR([1]retail_sales_cleaned_dataset!B225)</f>
        <v>2025</v>
      </c>
      <c r="M225" s="2" t="str">
        <f t="shared" si="7"/>
        <v>36-45</v>
      </c>
    </row>
    <row r="226" spans="1:13" x14ac:dyDescent="0.25">
      <c r="A226" s="2">
        <v>225</v>
      </c>
      <c r="B226" s="1">
        <v>45741</v>
      </c>
      <c r="C226" t="s">
        <v>168</v>
      </c>
      <c r="D226" t="s">
        <v>12</v>
      </c>
      <c r="E226">
        <v>31</v>
      </c>
      <c r="F226" s="2" t="s">
        <v>10</v>
      </c>
      <c r="G226" s="2">
        <v>4</v>
      </c>
      <c r="H226" s="5">
        <v>25</v>
      </c>
      <c r="I226" s="5">
        <f t="shared" si="6"/>
        <v>100</v>
      </c>
      <c r="J226" s="2" t="str">
        <f>TEXT([1]retail_sales_cleaned_dataset!B226,"mmmm")</f>
        <v>March</v>
      </c>
      <c r="K226" s="2">
        <f>MONTH([1]retail_sales_cleaned_dataset!B226)</f>
        <v>3</v>
      </c>
      <c r="L226" s="2">
        <f>YEAR([1]retail_sales_cleaned_dataset!B226)</f>
        <v>2025</v>
      </c>
      <c r="M226" s="2" t="str">
        <f t="shared" si="7"/>
        <v>26-35</v>
      </c>
    </row>
    <row r="227" spans="1:13" x14ac:dyDescent="0.25">
      <c r="A227" s="2">
        <v>226</v>
      </c>
      <c r="B227" s="1">
        <v>45742</v>
      </c>
      <c r="C227" t="s">
        <v>169</v>
      </c>
      <c r="D227" t="s">
        <v>12</v>
      </c>
      <c r="E227">
        <v>43</v>
      </c>
      <c r="F227" s="2" t="s">
        <v>13</v>
      </c>
      <c r="G227" s="2">
        <v>1</v>
      </c>
      <c r="H227" s="5">
        <v>50</v>
      </c>
      <c r="I227" s="5">
        <f t="shared" si="6"/>
        <v>50</v>
      </c>
      <c r="J227" s="2" t="str">
        <f>TEXT([1]retail_sales_cleaned_dataset!B227,"mmmm")</f>
        <v>March</v>
      </c>
      <c r="K227" s="2">
        <f>MONTH([1]retail_sales_cleaned_dataset!B227)</f>
        <v>3</v>
      </c>
      <c r="L227" s="2">
        <f>YEAR([1]retail_sales_cleaned_dataset!B227)</f>
        <v>2025</v>
      </c>
      <c r="M227" s="2" t="str">
        <f t="shared" si="7"/>
        <v>36-45</v>
      </c>
    </row>
    <row r="228" spans="1:13" x14ac:dyDescent="0.25">
      <c r="A228" s="2">
        <v>227</v>
      </c>
      <c r="B228" s="1">
        <v>45742</v>
      </c>
      <c r="C228" t="s">
        <v>170</v>
      </c>
      <c r="D228" t="s">
        <v>9</v>
      </c>
      <c r="E228">
        <v>45</v>
      </c>
      <c r="F228" s="2" t="s">
        <v>15</v>
      </c>
      <c r="G228" s="2">
        <v>2</v>
      </c>
      <c r="H228" s="5">
        <v>50</v>
      </c>
      <c r="I228" s="5">
        <f t="shared" si="6"/>
        <v>100</v>
      </c>
      <c r="J228" s="2" t="str">
        <f>TEXT([1]retail_sales_cleaned_dataset!B228,"mmmm")</f>
        <v>March</v>
      </c>
      <c r="K228" s="2">
        <f>MONTH([1]retail_sales_cleaned_dataset!B228)</f>
        <v>3</v>
      </c>
      <c r="L228" s="2">
        <f>YEAR([1]retail_sales_cleaned_dataset!B228)</f>
        <v>2025</v>
      </c>
      <c r="M228" s="2" t="str">
        <f t="shared" si="7"/>
        <v>36-45</v>
      </c>
    </row>
    <row r="229" spans="1:13" x14ac:dyDescent="0.25">
      <c r="A229" s="2">
        <v>228</v>
      </c>
      <c r="B229" s="1">
        <v>45742</v>
      </c>
      <c r="C229" t="s">
        <v>171</v>
      </c>
      <c r="D229" t="s">
        <v>9</v>
      </c>
      <c r="E229">
        <v>40</v>
      </c>
      <c r="F229" s="2" t="s">
        <v>15</v>
      </c>
      <c r="G229" s="2">
        <v>2</v>
      </c>
      <c r="H229" s="5">
        <v>30</v>
      </c>
      <c r="I229" s="5">
        <f t="shared" si="6"/>
        <v>60</v>
      </c>
      <c r="J229" s="2" t="str">
        <f>TEXT([1]retail_sales_cleaned_dataset!B229,"mmmm")</f>
        <v>March</v>
      </c>
      <c r="K229" s="2">
        <f>MONTH([1]retail_sales_cleaned_dataset!B229)</f>
        <v>3</v>
      </c>
      <c r="L229" s="2">
        <f>YEAR([1]retail_sales_cleaned_dataset!B229)</f>
        <v>2025</v>
      </c>
      <c r="M229" s="2" t="str">
        <f t="shared" si="7"/>
        <v>36-45</v>
      </c>
    </row>
    <row r="230" spans="1:13" x14ac:dyDescent="0.25">
      <c r="A230" s="2">
        <v>229</v>
      </c>
      <c r="B230" s="1">
        <v>45743</v>
      </c>
      <c r="C230" t="s">
        <v>172</v>
      </c>
      <c r="D230" t="s">
        <v>9</v>
      </c>
      <c r="E230">
        <v>31</v>
      </c>
      <c r="F230" s="2" t="s">
        <v>10</v>
      </c>
      <c r="G230" s="2">
        <v>3</v>
      </c>
      <c r="H230" s="5">
        <v>30</v>
      </c>
      <c r="I230" s="5">
        <f t="shared" si="6"/>
        <v>90</v>
      </c>
      <c r="J230" s="2" t="str">
        <f>TEXT([1]retail_sales_cleaned_dataset!B230,"mmmm")</f>
        <v>March</v>
      </c>
      <c r="K230" s="2">
        <f>MONTH([1]retail_sales_cleaned_dataset!B230)</f>
        <v>3</v>
      </c>
      <c r="L230" s="2">
        <f>YEAR([1]retail_sales_cleaned_dataset!B230)</f>
        <v>2025</v>
      </c>
      <c r="M230" s="2" t="str">
        <f t="shared" si="7"/>
        <v>26-35</v>
      </c>
    </row>
    <row r="231" spans="1:13" x14ac:dyDescent="0.25">
      <c r="A231" s="2">
        <v>230</v>
      </c>
      <c r="B231" s="1">
        <v>45743</v>
      </c>
      <c r="C231" t="s">
        <v>173</v>
      </c>
      <c r="D231" t="s">
        <v>9</v>
      </c>
      <c r="E231">
        <v>41</v>
      </c>
      <c r="F231" s="2" t="s">
        <v>10</v>
      </c>
      <c r="G231" s="2">
        <v>1</v>
      </c>
      <c r="H231" s="5">
        <v>25</v>
      </c>
      <c r="I231" s="5">
        <f t="shared" si="6"/>
        <v>25</v>
      </c>
      <c r="J231" s="2" t="str">
        <f>TEXT([1]retail_sales_cleaned_dataset!B231,"mmmm")</f>
        <v>March</v>
      </c>
      <c r="K231" s="2">
        <f>MONTH([1]retail_sales_cleaned_dataset!B231)</f>
        <v>3</v>
      </c>
      <c r="L231" s="2">
        <f>YEAR([1]retail_sales_cleaned_dataset!B231)</f>
        <v>2025</v>
      </c>
      <c r="M231" s="2" t="str">
        <f t="shared" si="7"/>
        <v>36-45</v>
      </c>
    </row>
    <row r="232" spans="1:13" x14ac:dyDescent="0.25">
      <c r="A232" s="2">
        <v>231</v>
      </c>
      <c r="B232" s="1">
        <v>45744</v>
      </c>
      <c r="C232" t="s">
        <v>174</v>
      </c>
      <c r="D232" t="s">
        <v>9</v>
      </c>
      <c r="E232">
        <v>19</v>
      </c>
      <c r="F232" s="2" t="s">
        <v>13</v>
      </c>
      <c r="G232" s="2">
        <v>3</v>
      </c>
      <c r="H232" s="5">
        <v>50</v>
      </c>
      <c r="I232" s="5">
        <f t="shared" si="6"/>
        <v>150</v>
      </c>
      <c r="J232" s="2" t="str">
        <f>TEXT([1]retail_sales_cleaned_dataset!B232,"mmmm")</f>
        <v>March</v>
      </c>
      <c r="K232" s="2">
        <f>MONTH([1]retail_sales_cleaned_dataset!B232)</f>
        <v>3</v>
      </c>
      <c r="L232" s="2">
        <f>YEAR([1]retail_sales_cleaned_dataset!B232)</f>
        <v>2025</v>
      </c>
      <c r="M232" s="2" t="str">
        <f t="shared" si="7"/>
        <v>18-25</v>
      </c>
    </row>
    <row r="233" spans="1:13" x14ac:dyDescent="0.25">
      <c r="A233" s="2">
        <v>232</v>
      </c>
      <c r="B233" s="1">
        <v>45745</v>
      </c>
      <c r="C233" t="s">
        <v>175</v>
      </c>
      <c r="D233" t="s">
        <v>9</v>
      </c>
      <c r="E233">
        <v>62</v>
      </c>
      <c r="F233" s="2" t="s">
        <v>10</v>
      </c>
      <c r="G233" s="2">
        <v>1</v>
      </c>
      <c r="H233" s="5">
        <v>25</v>
      </c>
      <c r="I233" s="5">
        <f t="shared" si="6"/>
        <v>25</v>
      </c>
      <c r="J233" s="2" t="str">
        <f>TEXT([1]retail_sales_cleaned_dataset!B233,"mmmm")</f>
        <v>March</v>
      </c>
      <c r="K233" s="2">
        <f>MONTH([1]retail_sales_cleaned_dataset!B233)</f>
        <v>3</v>
      </c>
      <c r="L233" s="2">
        <f>YEAR([1]retail_sales_cleaned_dataset!B233)</f>
        <v>2025</v>
      </c>
      <c r="M233" s="2" t="str">
        <f t="shared" si="7"/>
        <v>46+</v>
      </c>
    </row>
    <row r="234" spans="1:13" x14ac:dyDescent="0.25">
      <c r="A234" s="2">
        <v>233</v>
      </c>
      <c r="B234" s="1">
        <v>45746</v>
      </c>
      <c r="C234" t="s">
        <v>176</v>
      </c>
      <c r="D234" t="s">
        <v>12</v>
      </c>
      <c r="E234">
        <v>43</v>
      </c>
      <c r="F234" s="2" t="s">
        <v>10</v>
      </c>
      <c r="G234" s="2">
        <v>2</v>
      </c>
      <c r="H234" s="5">
        <v>300</v>
      </c>
      <c r="I234" s="5">
        <f t="shared" si="6"/>
        <v>600</v>
      </c>
      <c r="J234" s="2" t="str">
        <f>TEXT([1]retail_sales_cleaned_dataset!B234,"mmmm")</f>
        <v>March</v>
      </c>
      <c r="K234" s="2">
        <f>MONTH([1]retail_sales_cleaned_dataset!B234)</f>
        <v>3</v>
      </c>
      <c r="L234" s="2">
        <f>YEAR([1]retail_sales_cleaned_dataset!B234)</f>
        <v>2025</v>
      </c>
      <c r="M234" s="2" t="str">
        <f t="shared" si="7"/>
        <v>36-45</v>
      </c>
    </row>
    <row r="235" spans="1:13" x14ac:dyDescent="0.25">
      <c r="A235" s="2">
        <v>234</v>
      </c>
      <c r="B235" s="1">
        <v>45747</v>
      </c>
      <c r="C235" t="s">
        <v>177</v>
      </c>
      <c r="D235" t="s">
        <v>9</v>
      </c>
      <c r="E235">
        <v>31</v>
      </c>
      <c r="F235" s="2" t="s">
        <v>15</v>
      </c>
      <c r="G235" s="2">
        <v>2</v>
      </c>
      <c r="H235" s="5">
        <v>25</v>
      </c>
      <c r="I235" s="5">
        <f t="shared" si="6"/>
        <v>50</v>
      </c>
      <c r="J235" s="2" t="str">
        <f>TEXT([1]retail_sales_cleaned_dataset!B235,"mmmm")</f>
        <v>March</v>
      </c>
      <c r="K235" s="2">
        <f>MONTH([1]retail_sales_cleaned_dataset!B235)</f>
        <v>3</v>
      </c>
      <c r="L235" s="2">
        <f>YEAR([1]retail_sales_cleaned_dataset!B235)</f>
        <v>2025</v>
      </c>
      <c r="M235" s="2" t="str">
        <f t="shared" si="7"/>
        <v>26-35</v>
      </c>
    </row>
    <row r="236" spans="1:13" x14ac:dyDescent="0.25">
      <c r="A236" s="2">
        <v>235</v>
      </c>
      <c r="B236" s="1">
        <v>45748</v>
      </c>
      <c r="C236" t="s">
        <v>178</v>
      </c>
      <c r="D236" t="s">
        <v>9</v>
      </c>
      <c r="E236">
        <v>24</v>
      </c>
      <c r="F236" s="2" t="s">
        <v>15</v>
      </c>
      <c r="G236" s="2">
        <v>2</v>
      </c>
      <c r="H236" s="5">
        <v>500</v>
      </c>
      <c r="I236" s="5">
        <f t="shared" si="6"/>
        <v>1000</v>
      </c>
      <c r="J236" s="2" t="str">
        <f>TEXT([1]retail_sales_cleaned_dataset!B236,"mmmm")</f>
        <v>April</v>
      </c>
      <c r="K236" s="2">
        <f>MONTH([1]retail_sales_cleaned_dataset!B236)</f>
        <v>4</v>
      </c>
      <c r="L236" s="2">
        <f>YEAR([1]retail_sales_cleaned_dataset!B236)</f>
        <v>2025</v>
      </c>
      <c r="M236" s="2" t="str">
        <f t="shared" si="7"/>
        <v>18-25</v>
      </c>
    </row>
    <row r="237" spans="1:13" x14ac:dyDescent="0.25">
      <c r="A237" s="2">
        <v>236</v>
      </c>
      <c r="B237" s="1">
        <v>45748</v>
      </c>
      <c r="C237" t="s">
        <v>179</v>
      </c>
      <c r="D237" t="s">
        <v>9</v>
      </c>
      <c r="E237">
        <v>20</v>
      </c>
      <c r="F237" s="2" t="s">
        <v>13</v>
      </c>
      <c r="G237" s="2">
        <v>1</v>
      </c>
      <c r="H237" s="5">
        <v>25</v>
      </c>
      <c r="I237" s="5">
        <f t="shared" si="6"/>
        <v>25</v>
      </c>
      <c r="J237" s="2" t="str">
        <f>TEXT([1]retail_sales_cleaned_dataset!B237,"mmmm")</f>
        <v>April</v>
      </c>
      <c r="K237" s="2">
        <f>MONTH([1]retail_sales_cleaned_dataset!B237)</f>
        <v>4</v>
      </c>
      <c r="L237" s="2">
        <f>YEAR([1]retail_sales_cleaned_dataset!B237)</f>
        <v>2025</v>
      </c>
      <c r="M237" s="2" t="str">
        <f t="shared" si="7"/>
        <v>18-25</v>
      </c>
    </row>
    <row r="238" spans="1:13" x14ac:dyDescent="0.25">
      <c r="A238" s="2">
        <v>237</v>
      </c>
      <c r="B238" s="1">
        <v>45748</v>
      </c>
      <c r="C238" t="s">
        <v>180</v>
      </c>
      <c r="D238" t="s">
        <v>12</v>
      </c>
      <c r="E238">
        <v>64</v>
      </c>
      <c r="F238" s="2" t="s">
        <v>10</v>
      </c>
      <c r="G238" s="2">
        <v>2</v>
      </c>
      <c r="H238" s="5">
        <v>500</v>
      </c>
      <c r="I238" s="5">
        <f t="shared" si="6"/>
        <v>1000</v>
      </c>
      <c r="J238" s="2" t="str">
        <f>TEXT([1]retail_sales_cleaned_dataset!B238,"mmmm")</f>
        <v>April</v>
      </c>
      <c r="K238" s="2">
        <f>MONTH([1]retail_sales_cleaned_dataset!B238)</f>
        <v>4</v>
      </c>
      <c r="L238" s="2">
        <f>YEAR([1]retail_sales_cleaned_dataset!B238)</f>
        <v>2025</v>
      </c>
      <c r="M238" s="2" t="str">
        <f t="shared" si="7"/>
        <v>46+</v>
      </c>
    </row>
    <row r="239" spans="1:13" x14ac:dyDescent="0.25">
      <c r="A239" s="2">
        <v>238</v>
      </c>
      <c r="B239" s="1">
        <v>45749</v>
      </c>
      <c r="C239" t="s">
        <v>181</v>
      </c>
      <c r="D239" t="s">
        <v>9</v>
      </c>
      <c r="E239">
        <v>40</v>
      </c>
      <c r="F239" s="2" t="s">
        <v>10</v>
      </c>
      <c r="G239" s="2">
        <v>1</v>
      </c>
      <c r="H239" s="5">
        <v>500</v>
      </c>
      <c r="I239" s="5">
        <f t="shared" si="6"/>
        <v>500</v>
      </c>
      <c r="J239" s="2" t="str">
        <f>TEXT([1]retail_sales_cleaned_dataset!B239,"mmmm")</f>
        <v>April</v>
      </c>
      <c r="K239" s="2">
        <f>MONTH([1]retail_sales_cleaned_dataset!B239)</f>
        <v>4</v>
      </c>
      <c r="L239" s="2">
        <f>YEAR([1]retail_sales_cleaned_dataset!B239)</f>
        <v>2025</v>
      </c>
      <c r="M239" s="2" t="str">
        <f t="shared" si="7"/>
        <v>36-45</v>
      </c>
    </row>
    <row r="240" spans="1:13" x14ac:dyDescent="0.25">
      <c r="A240" s="2">
        <v>239</v>
      </c>
      <c r="B240" s="1">
        <v>45749</v>
      </c>
      <c r="C240" t="s">
        <v>182</v>
      </c>
      <c r="D240" t="s">
        <v>9</v>
      </c>
      <c r="E240">
        <v>63</v>
      </c>
      <c r="F240" s="2" t="s">
        <v>15</v>
      </c>
      <c r="G240" s="2">
        <v>3</v>
      </c>
      <c r="H240" s="5">
        <v>500</v>
      </c>
      <c r="I240" s="5">
        <f t="shared" si="6"/>
        <v>1500</v>
      </c>
      <c r="J240" s="2" t="str">
        <f>TEXT([1]retail_sales_cleaned_dataset!B240,"mmmm")</f>
        <v>April</v>
      </c>
      <c r="K240" s="2">
        <f>MONTH([1]retail_sales_cleaned_dataset!B240)</f>
        <v>4</v>
      </c>
      <c r="L240" s="2">
        <f>YEAR([1]retail_sales_cleaned_dataset!B240)</f>
        <v>2025</v>
      </c>
      <c r="M240" s="2" t="str">
        <f t="shared" si="7"/>
        <v>46+</v>
      </c>
    </row>
    <row r="241" spans="1:13" x14ac:dyDescent="0.25">
      <c r="A241" s="2">
        <v>240</v>
      </c>
      <c r="B241" s="1">
        <v>45749</v>
      </c>
      <c r="C241" t="s">
        <v>183</v>
      </c>
      <c r="D241" t="s">
        <v>12</v>
      </c>
      <c r="E241">
        <v>60</v>
      </c>
      <c r="F241" s="2" t="s">
        <v>10</v>
      </c>
      <c r="G241" s="2">
        <v>1</v>
      </c>
      <c r="H241" s="5">
        <v>300</v>
      </c>
      <c r="I241" s="5">
        <f t="shared" si="6"/>
        <v>300</v>
      </c>
      <c r="J241" s="2" t="str">
        <f>TEXT([1]retail_sales_cleaned_dataset!B241,"mmmm")</f>
        <v>April</v>
      </c>
      <c r="K241" s="2">
        <f>MONTH([1]retail_sales_cleaned_dataset!B241)</f>
        <v>4</v>
      </c>
      <c r="L241" s="2">
        <f>YEAR([1]retail_sales_cleaned_dataset!B241)</f>
        <v>2025</v>
      </c>
      <c r="M241" s="2" t="str">
        <f t="shared" si="7"/>
        <v>46+</v>
      </c>
    </row>
    <row r="242" spans="1:13" x14ac:dyDescent="0.25">
      <c r="A242" s="2">
        <v>241</v>
      </c>
      <c r="B242" s="1">
        <v>45749</v>
      </c>
      <c r="C242" t="s">
        <v>184</v>
      </c>
      <c r="D242" t="s">
        <v>9</v>
      </c>
      <c r="E242">
        <v>64</v>
      </c>
      <c r="F242" s="2" t="s">
        <v>15</v>
      </c>
      <c r="G242" s="2">
        <v>3</v>
      </c>
      <c r="H242" s="5">
        <v>25</v>
      </c>
      <c r="I242" s="5">
        <f t="shared" si="6"/>
        <v>75</v>
      </c>
      <c r="J242" s="2" t="str">
        <f>TEXT([1]retail_sales_cleaned_dataset!B242,"mmmm")</f>
        <v>April</v>
      </c>
      <c r="K242" s="2">
        <f>MONTH([1]retail_sales_cleaned_dataset!B242)</f>
        <v>4</v>
      </c>
      <c r="L242" s="2">
        <f>YEAR([1]retail_sales_cleaned_dataset!B242)</f>
        <v>2025</v>
      </c>
      <c r="M242" s="2" t="str">
        <f t="shared" si="7"/>
        <v>46+</v>
      </c>
    </row>
    <row r="243" spans="1:13" x14ac:dyDescent="0.25">
      <c r="A243" s="2">
        <v>242</v>
      </c>
      <c r="B243" s="1">
        <v>45751</v>
      </c>
      <c r="C243" t="s">
        <v>185</v>
      </c>
      <c r="D243" t="s">
        <v>9</v>
      </c>
      <c r="E243">
        <v>62</v>
      </c>
      <c r="F243" s="2" t="s">
        <v>13</v>
      </c>
      <c r="G243" s="2">
        <v>1</v>
      </c>
      <c r="H243" s="5">
        <v>25</v>
      </c>
      <c r="I243" s="5">
        <f t="shared" si="6"/>
        <v>25</v>
      </c>
      <c r="J243" s="2" t="str">
        <f>TEXT([1]retail_sales_cleaned_dataset!B243,"mmmm")</f>
        <v>April</v>
      </c>
      <c r="K243" s="2">
        <f>MONTH([1]retail_sales_cleaned_dataset!B243)</f>
        <v>4</v>
      </c>
      <c r="L243" s="2">
        <f>YEAR([1]retail_sales_cleaned_dataset!B243)</f>
        <v>2025</v>
      </c>
      <c r="M243" s="2" t="str">
        <f t="shared" si="7"/>
        <v>46+</v>
      </c>
    </row>
    <row r="244" spans="1:13" x14ac:dyDescent="0.25">
      <c r="A244" s="2">
        <v>243</v>
      </c>
      <c r="B244" s="1">
        <v>45751</v>
      </c>
      <c r="C244" t="s">
        <v>186</v>
      </c>
      <c r="D244" t="s">
        <v>9</v>
      </c>
      <c r="E244">
        <v>35</v>
      </c>
      <c r="F244" s="2" t="s">
        <v>15</v>
      </c>
      <c r="G244" s="2">
        <v>3</v>
      </c>
      <c r="H244" s="5">
        <v>300</v>
      </c>
      <c r="I244" s="5">
        <f t="shared" si="6"/>
        <v>900</v>
      </c>
      <c r="J244" s="2" t="str">
        <f>TEXT([1]retail_sales_cleaned_dataset!B244,"mmmm")</f>
        <v>April</v>
      </c>
      <c r="K244" s="2">
        <f>MONTH([1]retail_sales_cleaned_dataset!B244)</f>
        <v>4</v>
      </c>
      <c r="L244" s="2">
        <f>YEAR([1]retail_sales_cleaned_dataset!B244)</f>
        <v>2025</v>
      </c>
      <c r="M244" s="2" t="str">
        <f t="shared" si="7"/>
        <v>26-35</v>
      </c>
    </row>
    <row r="245" spans="1:13" x14ac:dyDescent="0.25">
      <c r="A245" s="2">
        <v>244</v>
      </c>
      <c r="B245" s="1">
        <v>45751</v>
      </c>
      <c r="C245" t="s">
        <v>187</v>
      </c>
      <c r="D245" t="s">
        <v>9</v>
      </c>
      <c r="E245">
        <v>55</v>
      </c>
      <c r="F245" s="2" t="s">
        <v>10</v>
      </c>
      <c r="G245" s="2">
        <v>2</v>
      </c>
      <c r="H245" s="5">
        <v>50</v>
      </c>
      <c r="I245" s="5">
        <f t="shared" si="6"/>
        <v>100</v>
      </c>
      <c r="J245" s="2" t="str">
        <f>TEXT([1]retail_sales_cleaned_dataset!B245,"mmmm")</f>
        <v>April</v>
      </c>
      <c r="K245" s="2">
        <f>MONTH([1]retail_sales_cleaned_dataset!B245)</f>
        <v>4</v>
      </c>
      <c r="L245" s="2">
        <f>YEAR([1]retail_sales_cleaned_dataset!B245)</f>
        <v>2025</v>
      </c>
      <c r="M245" s="2" t="str">
        <f t="shared" si="7"/>
        <v>46+</v>
      </c>
    </row>
    <row r="246" spans="1:13" x14ac:dyDescent="0.25">
      <c r="A246" s="2">
        <v>245</v>
      </c>
      <c r="B246" s="1">
        <v>45752</v>
      </c>
      <c r="C246" t="s">
        <v>188</v>
      </c>
      <c r="D246" t="s">
        <v>9</v>
      </c>
      <c r="E246">
        <v>52</v>
      </c>
      <c r="F246" s="2" t="s">
        <v>13</v>
      </c>
      <c r="G246" s="2">
        <v>3</v>
      </c>
      <c r="H246" s="5">
        <v>30</v>
      </c>
      <c r="I246" s="5">
        <f t="shared" si="6"/>
        <v>90</v>
      </c>
      <c r="J246" s="2" t="str">
        <f>TEXT([1]retail_sales_cleaned_dataset!B246,"mmmm")</f>
        <v>April</v>
      </c>
      <c r="K246" s="2">
        <f>MONTH([1]retail_sales_cleaned_dataset!B246)</f>
        <v>4</v>
      </c>
      <c r="L246" s="2">
        <f>YEAR([1]retail_sales_cleaned_dataset!B246)</f>
        <v>2025</v>
      </c>
      <c r="M246" s="2" t="str">
        <f t="shared" si="7"/>
        <v>46+</v>
      </c>
    </row>
    <row r="247" spans="1:13" x14ac:dyDescent="0.25">
      <c r="A247" s="2">
        <v>246</v>
      </c>
      <c r="B247" s="1">
        <v>45752</v>
      </c>
      <c r="C247" t="s">
        <v>189</v>
      </c>
      <c r="D247" t="s">
        <v>12</v>
      </c>
      <c r="E247">
        <v>32</v>
      </c>
      <c r="F247" s="2" t="s">
        <v>15</v>
      </c>
      <c r="G247" s="2">
        <v>2</v>
      </c>
      <c r="H247" s="5">
        <v>25</v>
      </c>
      <c r="I247" s="5">
        <f t="shared" si="6"/>
        <v>50</v>
      </c>
      <c r="J247" s="2" t="str">
        <f>TEXT([1]retail_sales_cleaned_dataset!B247,"mmmm")</f>
        <v>April</v>
      </c>
      <c r="K247" s="2">
        <f>MONTH([1]retail_sales_cleaned_dataset!B247)</f>
        <v>4</v>
      </c>
      <c r="L247" s="2">
        <f>YEAR([1]retail_sales_cleaned_dataset!B247)</f>
        <v>2025</v>
      </c>
      <c r="M247" s="2" t="str">
        <f t="shared" si="7"/>
        <v>26-35</v>
      </c>
    </row>
    <row r="248" spans="1:13" x14ac:dyDescent="0.25">
      <c r="A248" s="2">
        <v>247</v>
      </c>
      <c r="B248" s="1">
        <v>45753</v>
      </c>
      <c r="C248" t="s">
        <v>190</v>
      </c>
      <c r="D248" t="s">
        <v>12</v>
      </c>
      <c r="E248">
        <v>42</v>
      </c>
      <c r="F248" s="2" t="s">
        <v>15</v>
      </c>
      <c r="G248" s="2">
        <v>2</v>
      </c>
      <c r="H248" s="5">
        <v>30</v>
      </c>
      <c r="I248" s="5">
        <f t="shared" si="6"/>
        <v>60</v>
      </c>
      <c r="J248" s="2" t="str">
        <f>TEXT([1]retail_sales_cleaned_dataset!B248,"mmmm")</f>
        <v>April</v>
      </c>
      <c r="K248" s="2">
        <f>MONTH([1]retail_sales_cleaned_dataset!B248)</f>
        <v>4</v>
      </c>
      <c r="L248" s="2">
        <f>YEAR([1]retail_sales_cleaned_dataset!B248)</f>
        <v>2025</v>
      </c>
      <c r="M248" s="2" t="str">
        <f t="shared" si="7"/>
        <v>36-45</v>
      </c>
    </row>
    <row r="249" spans="1:13" x14ac:dyDescent="0.25">
      <c r="A249" s="2">
        <v>248</v>
      </c>
      <c r="B249" s="1">
        <v>45755</v>
      </c>
      <c r="C249" t="s">
        <v>191</v>
      </c>
      <c r="D249" t="s">
        <v>12</v>
      </c>
      <c r="E249">
        <v>54</v>
      </c>
      <c r="F249" s="2" t="s">
        <v>13</v>
      </c>
      <c r="G249" s="2">
        <v>3</v>
      </c>
      <c r="H249" s="5">
        <v>300</v>
      </c>
      <c r="I249" s="5">
        <f t="shared" si="6"/>
        <v>900</v>
      </c>
      <c r="J249" s="2" t="str">
        <f>TEXT([1]retail_sales_cleaned_dataset!B249,"mmmm")</f>
        <v>April</v>
      </c>
      <c r="K249" s="2">
        <f>MONTH([1]retail_sales_cleaned_dataset!B249)</f>
        <v>4</v>
      </c>
      <c r="L249" s="2">
        <f>YEAR([1]retail_sales_cleaned_dataset!B249)</f>
        <v>2025</v>
      </c>
      <c r="M249" s="2" t="str">
        <f t="shared" si="7"/>
        <v>46+</v>
      </c>
    </row>
    <row r="250" spans="1:13" x14ac:dyDescent="0.25">
      <c r="A250" s="2">
        <v>249</v>
      </c>
      <c r="B250" s="1">
        <v>45755</v>
      </c>
      <c r="C250" t="s">
        <v>192</v>
      </c>
      <c r="D250" t="s">
        <v>9</v>
      </c>
      <c r="E250">
        <v>45</v>
      </c>
      <c r="F250" s="2" t="s">
        <v>13</v>
      </c>
      <c r="G250" s="2">
        <v>1</v>
      </c>
      <c r="H250" s="5">
        <v>50</v>
      </c>
      <c r="I250" s="5">
        <f t="shared" si="6"/>
        <v>50</v>
      </c>
      <c r="J250" s="2" t="str">
        <f>TEXT([1]retail_sales_cleaned_dataset!B250,"mmmm")</f>
        <v>April</v>
      </c>
      <c r="K250" s="2">
        <f>MONTH([1]retail_sales_cleaned_dataset!B250)</f>
        <v>4</v>
      </c>
      <c r="L250" s="2">
        <f>YEAR([1]retail_sales_cleaned_dataset!B250)</f>
        <v>2025</v>
      </c>
      <c r="M250" s="2" t="str">
        <f t="shared" si="7"/>
        <v>36-45</v>
      </c>
    </row>
    <row r="251" spans="1:13" x14ac:dyDescent="0.25">
      <c r="A251" s="2">
        <v>250</v>
      </c>
      <c r="B251" s="1">
        <v>45755</v>
      </c>
      <c r="C251" t="s">
        <v>193</v>
      </c>
      <c r="D251" t="s">
        <v>9</v>
      </c>
      <c r="E251">
        <v>27</v>
      </c>
      <c r="F251" s="2" t="s">
        <v>15</v>
      </c>
      <c r="G251" s="2">
        <v>1</v>
      </c>
      <c r="H251" s="5">
        <v>50</v>
      </c>
      <c r="I251" s="5">
        <f t="shared" si="6"/>
        <v>50</v>
      </c>
      <c r="J251" s="2" t="str">
        <f>TEXT([1]retail_sales_cleaned_dataset!B251,"mmmm")</f>
        <v>April</v>
      </c>
      <c r="K251" s="2">
        <f>MONTH([1]retail_sales_cleaned_dataset!B251)</f>
        <v>4</v>
      </c>
      <c r="L251" s="2">
        <f>YEAR([1]retail_sales_cleaned_dataset!B251)</f>
        <v>2025</v>
      </c>
      <c r="M251" s="2" t="str">
        <f t="shared" si="7"/>
        <v>26-35</v>
      </c>
    </row>
    <row r="252" spans="1:13" x14ac:dyDescent="0.25">
      <c r="A252" s="2">
        <v>251</v>
      </c>
      <c r="B252" s="1">
        <v>45755</v>
      </c>
      <c r="C252" t="s">
        <v>27</v>
      </c>
      <c r="D252" t="s">
        <v>9</v>
      </c>
      <c r="E252">
        <v>56</v>
      </c>
      <c r="F252" s="2" t="s">
        <v>10</v>
      </c>
      <c r="G252" s="2">
        <v>4</v>
      </c>
      <c r="H252" s="5">
        <v>50</v>
      </c>
      <c r="I252" s="5">
        <f t="shared" si="6"/>
        <v>200</v>
      </c>
      <c r="J252" s="2" t="str">
        <f>TEXT([1]retail_sales_cleaned_dataset!B252,"mmmm")</f>
        <v>April</v>
      </c>
      <c r="K252" s="2">
        <f>MONTH([1]retail_sales_cleaned_dataset!B252)</f>
        <v>4</v>
      </c>
      <c r="L252" s="2">
        <f>YEAR([1]retail_sales_cleaned_dataset!B252)</f>
        <v>2025</v>
      </c>
      <c r="M252" s="2" t="str">
        <f t="shared" si="7"/>
        <v>46+</v>
      </c>
    </row>
    <row r="253" spans="1:13" x14ac:dyDescent="0.25">
      <c r="A253" s="2">
        <v>252</v>
      </c>
      <c r="B253" s="1">
        <v>45755</v>
      </c>
      <c r="C253" t="s">
        <v>194</v>
      </c>
      <c r="D253" t="s">
        <v>12</v>
      </c>
      <c r="E253">
        <v>34</v>
      </c>
      <c r="F253" s="2" t="s">
        <v>15</v>
      </c>
      <c r="G253" s="2">
        <v>1</v>
      </c>
      <c r="H253" s="5">
        <v>300</v>
      </c>
      <c r="I253" s="5">
        <f t="shared" si="6"/>
        <v>300</v>
      </c>
      <c r="J253" s="2" t="str">
        <f>TEXT([1]retail_sales_cleaned_dataset!B253,"mmmm")</f>
        <v>April</v>
      </c>
      <c r="K253" s="2">
        <f>MONTH([1]retail_sales_cleaned_dataset!B253)</f>
        <v>4</v>
      </c>
      <c r="L253" s="2">
        <f>YEAR([1]retail_sales_cleaned_dataset!B253)</f>
        <v>2025</v>
      </c>
      <c r="M253" s="2" t="str">
        <f t="shared" si="7"/>
        <v>26-35</v>
      </c>
    </row>
    <row r="254" spans="1:13" x14ac:dyDescent="0.25">
      <c r="A254" s="2">
        <v>253</v>
      </c>
      <c r="B254" s="1">
        <v>45756</v>
      </c>
      <c r="C254" t="s">
        <v>121</v>
      </c>
      <c r="D254" t="s">
        <v>9</v>
      </c>
      <c r="E254">
        <v>56</v>
      </c>
      <c r="F254" s="2" t="s">
        <v>13</v>
      </c>
      <c r="G254" s="2">
        <v>4</v>
      </c>
      <c r="H254" s="5">
        <v>500</v>
      </c>
      <c r="I254" s="5">
        <f t="shared" si="6"/>
        <v>2000</v>
      </c>
      <c r="J254" s="2" t="str">
        <f>TEXT([1]retail_sales_cleaned_dataset!B254,"mmmm")</f>
        <v>April</v>
      </c>
      <c r="K254" s="2">
        <f>MONTH([1]retail_sales_cleaned_dataset!B254)</f>
        <v>4</v>
      </c>
      <c r="L254" s="2">
        <f>YEAR([1]retail_sales_cleaned_dataset!B254)</f>
        <v>2025</v>
      </c>
      <c r="M254" s="2" t="str">
        <f t="shared" si="7"/>
        <v>46+</v>
      </c>
    </row>
    <row r="255" spans="1:13" x14ac:dyDescent="0.25">
      <c r="A255" s="2">
        <v>254</v>
      </c>
      <c r="B255" s="1">
        <v>45756</v>
      </c>
      <c r="C255" t="s">
        <v>38</v>
      </c>
      <c r="D255" t="s">
        <v>9</v>
      </c>
      <c r="E255">
        <v>39</v>
      </c>
      <c r="F255" s="2" t="s">
        <v>15</v>
      </c>
      <c r="G255" s="2">
        <v>1</v>
      </c>
      <c r="H255" s="5">
        <v>500</v>
      </c>
      <c r="I255" s="5">
        <f t="shared" si="6"/>
        <v>500</v>
      </c>
      <c r="J255" s="2" t="str">
        <f>TEXT([1]retail_sales_cleaned_dataset!B255,"mmmm")</f>
        <v>April</v>
      </c>
      <c r="K255" s="2">
        <f>MONTH([1]retail_sales_cleaned_dataset!B255)</f>
        <v>4</v>
      </c>
      <c r="L255" s="2">
        <f>YEAR([1]retail_sales_cleaned_dataset!B255)</f>
        <v>2025</v>
      </c>
      <c r="M255" s="2" t="str">
        <f t="shared" si="7"/>
        <v>36-45</v>
      </c>
    </row>
    <row r="256" spans="1:13" x14ac:dyDescent="0.25">
      <c r="A256" s="2">
        <v>255</v>
      </c>
      <c r="B256" s="1">
        <v>45756</v>
      </c>
      <c r="C256" t="s">
        <v>195</v>
      </c>
      <c r="D256" t="s">
        <v>12</v>
      </c>
      <c r="E256">
        <v>43</v>
      </c>
      <c r="F256" s="2" t="s">
        <v>13</v>
      </c>
      <c r="G256" s="2">
        <v>1</v>
      </c>
      <c r="H256" s="5">
        <v>30</v>
      </c>
      <c r="I256" s="5">
        <f t="shared" si="6"/>
        <v>30</v>
      </c>
      <c r="J256" s="2" t="str">
        <f>TEXT([1]retail_sales_cleaned_dataset!B256,"mmmm")</f>
        <v>April</v>
      </c>
      <c r="K256" s="2">
        <f>MONTH([1]retail_sales_cleaned_dataset!B256)</f>
        <v>4</v>
      </c>
      <c r="L256" s="2">
        <f>YEAR([1]retail_sales_cleaned_dataset!B256)</f>
        <v>2025</v>
      </c>
      <c r="M256" s="2" t="str">
        <f t="shared" si="7"/>
        <v>36-45</v>
      </c>
    </row>
    <row r="257" spans="1:13" x14ac:dyDescent="0.25">
      <c r="A257" s="2">
        <v>256</v>
      </c>
      <c r="B257" s="1">
        <v>45756</v>
      </c>
      <c r="C257" t="s">
        <v>196</v>
      </c>
      <c r="D257" t="s">
        <v>9</v>
      </c>
      <c r="E257">
        <v>61</v>
      </c>
      <c r="F257" s="2" t="s">
        <v>13</v>
      </c>
      <c r="G257" s="2">
        <v>2</v>
      </c>
      <c r="H257" s="5">
        <v>500</v>
      </c>
      <c r="I257" s="5">
        <f t="shared" si="6"/>
        <v>1000</v>
      </c>
      <c r="J257" s="2" t="str">
        <f>TEXT([1]retail_sales_cleaned_dataset!B257,"mmmm")</f>
        <v>April</v>
      </c>
      <c r="K257" s="2">
        <f>MONTH([1]retail_sales_cleaned_dataset!B257)</f>
        <v>4</v>
      </c>
      <c r="L257" s="2">
        <f>YEAR([1]retail_sales_cleaned_dataset!B257)</f>
        <v>2025</v>
      </c>
      <c r="M257" s="2" t="str">
        <f t="shared" si="7"/>
        <v>46+</v>
      </c>
    </row>
    <row r="258" spans="1:13" x14ac:dyDescent="0.25">
      <c r="A258" s="2">
        <v>257</v>
      </c>
      <c r="B258" s="1">
        <v>45756</v>
      </c>
      <c r="C258" t="s">
        <v>25</v>
      </c>
      <c r="D258" t="s">
        <v>12</v>
      </c>
      <c r="E258">
        <v>42</v>
      </c>
      <c r="F258" s="2" t="s">
        <v>10</v>
      </c>
      <c r="G258" s="2">
        <v>4</v>
      </c>
      <c r="H258" s="5">
        <v>500</v>
      </c>
      <c r="I258" s="5">
        <f t="shared" ref="I258:I321" si="8">G258*H258</f>
        <v>2000</v>
      </c>
      <c r="J258" s="2" t="str">
        <f>TEXT([1]retail_sales_cleaned_dataset!B258,"mmmm")</f>
        <v>April</v>
      </c>
      <c r="K258" s="2">
        <f>MONTH([1]retail_sales_cleaned_dataset!B258)</f>
        <v>4</v>
      </c>
      <c r="L258" s="2">
        <f>YEAR([1]retail_sales_cleaned_dataset!B258)</f>
        <v>2025</v>
      </c>
      <c r="M258" s="2" t="str">
        <f t="shared" ref="M258:M321" si="9">IF(E258&lt;=25,"18-25",IF(E258&lt;=35,"26-35",IF(E258&lt;=45,"36-45","46+")))</f>
        <v>36-45</v>
      </c>
    </row>
    <row r="259" spans="1:13" x14ac:dyDescent="0.25">
      <c r="A259" s="2">
        <v>258</v>
      </c>
      <c r="B259" s="1">
        <v>45756</v>
      </c>
      <c r="C259" t="s">
        <v>197</v>
      </c>
      <c r="D259" t="s">
        <v>12</v>
      </c>
      <c r="E259">
        <v>34</v>
      </c>
      <c r="F259" s="2" t="s">
        <v>13</v>
      </c>
      <c r="G259" s="2">
        <v>6</v>
      </c>
      <c r="H259" s="5">
        <v>50</v>
      </c>
      <c r="I259" s="5">
        <f t="shared" si="8"/>
        <v>300</v>
      </c>
      <c r="J259" s="2" t="str">
        <f>TEXT([1]retail_sales_cleaned_dataset!B259,"mmmm")</f>
        <v>April</v>
      </c>
      <c r="K259" s="2">
        <f>MONTH([1]retail_sales_cleaned_dataset!B259)</f>
        <v>4</v>
      </c>
      <c r="L259" s="2">
        <f>YEAR([1]retail_sales_cleaned_dataset!B259)</f>
        <v>2025</v>
      </c>
      <c r="M259" s="2" t="str">
        <f t="shared" si="9"/>
        <v>26-35</v>
      </c>
    </row>
    <row r="260" spans="1:13" x14ac:dyDescent="0.25">
      <c r="A260" s="2">
        <v>259</v>
      </c>
      <c r="B260" s="1">
        <v>45757</v>
      </c>
      <c r="C260" t="s">
        <v>61</v>
      </c>
      <c r="D260" t="s">
        <v>12</v>
      </c>
      <c r="E260">
        <v>30</v>
      </c>
      <c r="F260" s="2" t="s">
        <v>13</v>
      </c>
      <c r="G260" s="2">
        <v>4</v>
      </c>
      <c r="H260" s="5">
        <v>50</v>
      </c>
      <c r="I260" s="5">
        <f t="shared" si="8"/>
        <v>200</v>
      </c>
      <c r="J260" s="2" t="str">
        <f>TEXT([1]retail_sales_cleaned_dataset!B260,"mmmm")</f>
        <v>April</v>
      </c>
      <c r="K260" s="2">
        <f>MONTH([1]retail_sales_cleaned_dataset!B260)</f>
        <v>4</v>
      </c>
      <c r="L260" s="2">
        <f>YEAR([1]retail_sales_cleaned_dataset!B260)</f>
        <v>2025</v>
      </c>
      <c r="M260" s="2" t="str">
        <f t="shared" si="9"/>
        <v>26-35</v>
      </c>
    </row>
    <row r="261" spans="1:13" x14ac:dyDescent="0.25">
      <c r="A261" s="2">
        <v>260</v>
      </c>
      <c r="B261" s="1">
        <v>45757</v>
      </c>
      <c r="C261" t="s">
        <v>198</v>
      </c>
      <c r="D261" t="s">
        <v>9</v>
      </c>
      <c r="E261">
        <v>37</v>
      </c>
      <c r="F261" s="2" t="s">
        <v>10</v>
      </c>
      <c r="G261" s="2">
        <v>2</v>
      </c>
      <c r="H261" s="5">
        <v>30</v>
      </c>
      <c r="I261" s="5">
        <f t="shared" si="8"/>
        <v>60</v>
      </c>
      <c r="J261" s="2" t="str">
        <f>TEXT([1]retail_sales_cleaned_dataset!B261,"mmmm")</f>
        <v>April</v>
      </c>
      <c r="K261" s="2">
        <f>MONTH([1]retail_sales_cleaned_dataset!B261)</f>
        <v>4</v>
      </c>
      <c r="L261" s="2">
        <f>YEAR([1]retail_sales_cleaned_dataset!B261)</f>
        <v>2025</v>
      </c>
      <c r="M261" s="2" t="str">
        <f t="shared" si="9"/>
        <v>36-45</v>
      </c>
    </row>
    <row r="262" spans="1:13" x14ac:dyDescent="0.25">
      <c r="A262" s="2">
        <v>261</v>
      </c>
      <c r="B262" s="1">
        <v>45758</v>
      </c>
      <c r="C262" t="s">
        <v>38</v>
      </c>
      <c r="D262" t="s">
        <v>9</v>
      </c>
      <c r="E262">
        <v>42</v>
      </c>
      <c r="F262" s="2" t="s">
        <v>13</v>
      </c>
      <c r="G262" s="2">
        <v>2</v>
      </c>
      <c r="H262" s="5">
        <v>25</v>
      </c>
      <c r="I262" s="5">
        <f t="shared" si="8"/>
        <v>50</v>
      </c>
      <c r="J262" s="2" t="str">
        <f>TEXT([1]retail_sales_cleaned_dataset!B262,"mmmm")</f>
        <v>April</v>
      </c>
      <c r="K262" s="2">
        <f>MONTH([1]retail_sales_cleaned_dataset!B262)</f>
        <v>4</v>
      </c>
      <c r="L262" s="2">
        <f>YEAR([1]retail_sales_cleaned_dataset!B262)</f>
        <v>2025</v>
      </c>
      <c r="M262" s="2" t="str">
        <f t="shared" si="9"/>
        <v>36-45</v>
      </c>
    </row>
    <row r="263" spans="1:13" x14ac:dyDescent="0.25">
      <c r="A263" s="2">
        <v>262</v>
      </c>
      <c r="B263" s="1">
        <v>45759</v>
      </c>
      <c r="C263" t="s">
        <v>199</v>
      </c>
      <c r="D263" t="s">
        <v>9</v>
      </c>
      <c r="E263">
        <v>21</v>
      </c>
      <c r="F263" s="2" t="s">
        <v>10</v>
      </c>
      <c r="G263" s="2">
        <v>4</v>
      </c>
      <c r="H263" s="5">
        <v>30</v>
      </c>
      <c r="I263" s="5">
        <f t="shared" si="8"/>
        <v>120</v>
      </c>
      <c r="J263" s="2" t="str">
        <f>TEXT([1]retail_sales_cleaned_dataset!B263,"mmmm")</f>
        <v>April</v>
      </c>
      <c r="K263" s="2">
        <f>MONTH([1]retail_sales_cleaned_dataset!B263)</f>
        <v>4</v>
      </c>
      <c r="L263" s="2">
        <f>YEAR([1]retail_sales_cleaned_dataset!B263)</f>
        <v>2025</v>
      </c>
      <c r="M263" s="2" t="str">
        <f t="shared" si="9"/>
        <v>18-25</v>
      </c>
    </row>
    <row r="264" spans="1:13" x14ac:dyDescent="0.25">
      <c r="A264" s="2">
        <v>263</v>
      </c>
      <c r="B264" s="1">
        <v>45759</v>
      </c>
      <c r="C264" t="s">
        <v>41</v>
      </c>
      <c r="D264" t="s">
        <v>9</v>
      </c>
      <c r="E264">
        <v>27</v>
      </c>
      <c r="F264" s="2" t="s">
        <v>10</v>
      </c>
      <c r="G264" s="2">
        <v>2</v>
      </c>
      <c r="H264" s="5">
        <v>30</v>
      </c>
      <c r="I264" s="5">
        <f t="shared" si="8"/>
        <v>60</v>
      </c>
      <c r="J264" s="2" t="str">
        <f>TEXT([1]retail_sales_cleaned_dataset!B264,"mmmm")</f>
        <v>April</v>
      </c>
      <c r="K264" s="2">
        <f>MONTH([1]retail_sales_cleaned_dataset!B264)</f>
        <v>4</v>
      </c>
      <c r="L264" s="2">
        <f>YEAR([1]retail_sales_cleaned_dataset!B264)</f>
        <v>2025</v>
      </c>
      <c r="M264" s="2" t="str">
        <f t="shared" si="9"/>
        <v>26-35</v>
      </c>
    </row>
    <row r="265" spans="1:13" x14ac:dyDescent="0.25">
      <c r="A265" s="2">
        <v>264</v>
      </c>
      <c r="B265" s="1">
        <v>45759</v>
      </c>
      <c r="C265" t="s">
        <v>200</v>
      </c>
      <c r="D265" t="s">
        <v>9</v>
      </c>
      <c r="E265">
        <v>20</v>
      </c>
      <c r="F265" s="2" t="s">
        <v>13</v>
      </c>
      <c r="G265" s="2">
        <v>3</v>
      </c>
      <c r="H265" s="5">
        <v>300</v>
      </c>
      <c r="I265" s="5">
        <f t="shared" si="8"/>
        <v>900</v>
      </c>
      <c r="J265" s="2" t="str">
        <f>TEXT([1]retail_sales_cleaned_dataset!B265,"mmmm")</f>
        <v>April</v>
      </c>
      <c r="K265" s="2">
        <f>MONTH([1]retail_sales_cleaned_dataset!B265)</f>
        <v>4</v>
      </c>
      <c r="L265" s="2">
        <f>YEAR([1]retail_sales_cleaned_dataset!B265)</f>
        <v>2025</v>
      </c>
      <c r="M265" s="2" t="str">
        <f t="shared" si="9"/>
        <v>18-25</v>
      </c>
    </row>
    <row r="266" spans="1:13" x14ac:dyDescent="0.25">
      <c r="A266" s="2">
        <v>265</v>
      </c>
      <c r="B266" s="1">
        <v>45759</v>
      </c>
      <c r="C266" t="s">
        <v>43</v>
      </c>
      <c r="D266" t="s">
        <v>9</v>
      </c>
      <c r="E266">
        <v>58</v>
      </c>
      <c r="F266" s="2" t="s">
        <v>13</v>
      </c>
      <c r="G266" s="2">
        <v>3</v>
      </c>
      <c r="H266" s="5">
        <v>300</v>
      </c>
      <c r="I266" s="5">
        <f t="shared" si="8"/>
        <v>900</v>
      </c>
      <c r="J266" s="2" t="str">
        <f>TEXT([1]retail_sales_cleaned_dataset!B266,"mmmm")</f>
        <v>April</v>
      </c>
      <c r="K266" s="2">
        <f>MONTH([1]retail_sales_cleaned_dataset!B266)</f>
        <v>4</v>
      </c>
      <c r="L266" s="2">
        <f>YEAR([1]retail_sales_cleaned_dataset!B266)</f>
        <v>2025</v>
      </c>
      <c r="M266" s="2" t="str">
        <f t="shared" si="9"/>
        <v>46+</v>
      </c>
    </row>
    <row r="267" spans="1:13" x14ac:dyDescent="0.25">
      <c r="A267" s="2">
        <v>266</v>
      </c>
      <c r="B267" s="1">
        <v>45759</v>
      </c>
      <c r="C267" t="s">
        <v>201</v>
      </c>
      <c r="D267" t="s">
        <v>9</v>
      </c>
      <c r="E267">
        <v>62</v>
      </c>
      <c r="F267" s="2" t="s">
        <v>15</v>
      </c>
      <c r="G267" s="2">
        <v>2</v>
      </c>
      <c r="H267" s="5">
        <v>30</v>
      </c>
      <c r="I267" s="5">
        <f t="shared" si="8"/>
        <v>60</v>
      </c>
      <c r="J267" s="2" t="str">
        <f>TEXT([1]retail_sales_cleaned_dataset!B267,"mmmm")</f>
        <v>April</v>
      </c>
      <c r="K267" s="2">
        <f>MONTH([1]retail_sales_cleaned_dataset!B267)</f>
        <v>4</v>
      </c>
      <c r="L267" s="2">
        <f>YEAR([1]retail_sales_cleaned_dataset!B267)</f>
        <v>2025</v>
      </c>
      <c r="M267" s="2" t="str">
        <f t="shared" si="9"/>
        <v>46+</v>
      </c>
    </row>
    <row r="268" spans="1:13" x14ac:dyDescent="0.25">
      <c r="A268" s="2">
        <v>267</v>
      </c>
      <c r="B268" s="1">
        <v>45760</v>
      </c>
      <c r="C268" t="s">
        <v>45</v>
      </c>
      <c r="D268" t="s">
        <v>12</v>
      </c>
      <c r="E268">
        <v>35</v>
      </c>
      <c r="F268" s="2" t="s">
        <v>10</v>
      </c>
      <c r="G268" s="2">
        <v>3</v>
      </c>
      <c r="H268" s="5">
        <v>30</v>
      </c>
      <c r="I268" s="5">
        <f t="shared" si="8"/>
        <v>90</v>
      </c>
      <c r="J268" s="2" t="str">
        <f>TEXT([1]retail_sales_cleaned_dataset!B268,"mmmm")</f>
        <v>April</v>
      </c>
      <c r="K268" s="2">
        <f>MONTH([1]retail_sales_cleaned_dataset!B268)</f>
        <v>4</v>
      </c>
      <c r="L268" s="2">
        <f>YEAR([1]retail_sales_cleaned_dataset!B268)</f>
        <v>2025</v>
      </c>
      <c r="M268" s="2" t="str">
        <f t="shared" si="9"/>
        <v>26-35</v>
      </c>
    </row>
    <row r="269" spans="1:13" x14ac:dyDescent="0.25">
      <c r="A269" s="2">
        <v>268</v>
      </c>
      <c r="B269" s="1">
        <v>45760</v>
      </c>
      <c r="C269" t="s">
        <v>202</v>
      </c>
      <c r="D269" t="s">
        <v>9</v>
      </c>
      <c r="E269">
        <v>64</v>
      </c>
      <c r="F269" s="2" t="s">
        <v>15</v>
      </c>
      <c r="G269" s="2">
        <v>1</v>
      </c>
      <c r="H269" s="5">
        <v>30</v>
      </c>
      <c r="I269" s="5">
        <f t="shared" si="8"/>
        <v>30</v>
      </c>
      <c r="J269" s="2" t="str">
        <f>TEXT([1]retail_sales_cleaned_dataset!B269,"mmmm")</f>
        <v>April</v>
      </c>
      <c r="K269" s="2">
        <f>MONTH([1]retail_sales_cleaned_dataset!B269)</f>
        <v>4</v>
      </c>
      <c r="L269" s="2">
        <f>YEAR([1]retail_sales_cleaned_dataset!B269)</f>
        <v>2025</v>
      </c>
      <c r="M269" s="2" t="str">
        <f t="shared" si="9"/>
        <v>46+</v>
      </c>
    </row>
    <row r="270" spans="1:13" x14ac:dyDescent="0.25">
      <c r="A270" s="2">
        <v>269</v>
      </c>
      <c r="B270" s="1">
        <v>45760</v>
      </c>
      <c r="C270" t="s">
        <v>75</v>
      </c>
      <c r="D270" t="s">
        <v>12</v>
      </c>
      <c r="E270">
        <v>53</v>
      </c>
      <c r="F270" s="2" t="s">
        <v>13</v>
      </c>
      <c r="G270" s="2">
        <v>4</v>
      </c>
      <c r="H270" s="5">
        <v>500</v>
      </c>
      <c r="I270" s="5">
        <f t="shared" si="8"/>
        <v>2000</v>
      </c>
      <c r="J270" s="2" t="str">
        <f>TEXT([1]retail_sales_cleaned_dataset!B270,"mmmm")</f>
        <v>April</v>
      </c>
      <c r="K270" s="2">
        <f>MONTH([1]retail_sales_cleaned_dataset!B270)</f>
        <v>4</v>
      </c>
      <c r="L270" s="2">
        <f>YEAR([1]retail_sales_cleaned_dataset!B270)</f>
        <v>2025</v>
      </c>
      <c r="M270" s="2" t="str">
        <f t="shared" si="9"/>
        <v>46+</v>
      </c>
    </row>
    <row r="271" spans="1:13" x14ac:dyDescent="0.25">
      <c r="A271" s="2">
        <v>270</v>
      </c>
      <c r="B271" s="1">
        <v>45762</v>
      </c>
      <c r="C271" t="s">
        <v>203</v>
      </c>
      <c r="D271" t="s">
        <v>9</v>
      </c>
      <c r="E271">
        <v>64</v>
      </c>
      <c r="F271" s="2" t="s">
        <v>15</v>
      </c>
      <c r="G271" s="2">
        <v>1</v>
      </c>
      <c r="H271" s="5">
        <v>300</v>
      </c>
      <c r="I271" s="5">
        <f t="shared" si="8"/>
        <v>300</v>
      </c>
      <c r="J271" s="2" t="str">
        <f>TEXT([1]retail_sales_cleaned_dataset!B271,"mmmm")</f>
        <v>April</v>
      </c>
      <c r="K271" s="2">
        <f>MONTH([1]retail_sales_cleaned_dataset!B271)</f>
        <v>4</v>
      </c>
      <c r="L271" s="2">
        <f>YEAR([1]retail_sales_cleaned_dataset!B271)</f>
        <v>2025</v>
      </c>
      <c r="M271" s="2" t="str">
        <f t="shared" si="9"/>
        <v>46+</v>
      </c>
    </row>
    <row r="272" spans="1:13" x14ac:dyDescent="0.25">
      <c r="A272" s="2">
        <v>271</v>
      </c>
      <c r="B272" s="1">
        <v>45762</v>
      </c>
      <c r="C272" t="s">
        <v>45</v>
      </c>
      <c r="D272" t="s">
        <v>9</v>
      </c>
      <c r="E272">
        <v>39</v>
      </c>
      <c r="F272" s="2" t="s">
        <v>10</v>
      </c>
      <c r="G272" s="2">
        <v>4</v>
      </c>
      <c r="H272" s="5">
        <v>30</v>
      </c>
      <c r="I272" s="5">
        <f t="shared" si="8"/>
        <v>120</v>
      </c>
      <c r="J272" s="2" t="str">
        <f>TEXT([1]retail_sales_cleaned_dataset!B272,"mmmm")</f>
        <v>April</v>
      </c>
      <c r="K272" s="2">
        <f>MONTH([1]retail_sales_cleaned_dataset!B272)</f>
        <v>4</v>
      </c>
      <c r="L272" s="2">
        <f>YEAR([1]retail_sales_cleaned_dataset!B272)</f>
        <v>2025</v>
      </c>
      <c r="M272" s="2" t="str">
        <f t="shared" si="9"/>
        <v>36-45</v>
      </c>
    </row>
    <row r="273" spans="1:13" x14ac:dyDescent="0.25">
      <c r="A273" s="2">
        <v>272</v>
      </c>
      <c r="B273" s="1">
        <v>45763</v>
      </c>
      <c r="C273" t="s">
        <v>204</v>
      </c>
      <c r="D273" t="s">
        <v>9</v>
      </c>
      <c r="E273">
        <v>51</v>
      </c>
      <c r="F273" s="2" t="s">
        <v>15</v>
      </c>
      <c r="G273" s="2">
        <v>2</v>
      </c>
      <c r="H273" s="5">
        <v>50</v>
      </c>
      <c r="I273" s="5">
        <f t="shared" si="8"/>
        <v>100</v>
      </c>
      <c r="J273" s="2" t="str">
        <f>TEXT([1]retail_sales_cleaned_dataset!B273,"mmmm")</f>
        <v>April</v>
      </c>
      <c r="K273" s="2">
        <f>MONTH([1]retail_sales_cleaned_dataset!B273)</f>
        <v>4</v>
      </c>
      <c r="L273" s="2">
        <f>YEAR([1]retail_sales_cleaned_dataset!B273)</f>
        <v>2025</v>
      </c>
      <c r="M273" s="2" t="str">
        <f t="shared" si="9"/>
        <v>46+</v>
      </c>
    </row>
    <row r="274" spans="1:13" x14ac:dyDescent="0.25">
      <c r="A274" s="2">
        <v>273</v>
      </c>
      <c r="B274" s="1">
        <v>45764</v>
      </c>
      <c r="C274" t="s">
        <v>30</v>
      </c>
      <c r="D274" t="s">
        <v>12</v>
      </c>
      <c r="E274">
        <v>64</v>
      </c>
      <c r="F274" s="2" t="s">
        <v>10</v>
      </c>
      <c r="G274" s="2">
        <v>1</v>
      </c>
      <c r="H274" s="5">
        <v>50</v>
      </c>
      <c r="I274" s="5">
        <f t="shared" si="8"/>
        <v>50</v>
      </c>
      <c r="J274" s="2" t="str">
        <f>TEXT([1]retail_sales_cleaned_dataset!B274,"mmmm")</f>
        <v>April</v>
      </c>
      <c r="K274" s="2">
        <f>MONTH([1]retail_sales_cleaned_dataset!B274)</f>
        <v>4</v>
      </c>
      <c r="L274" s="2">
        <f>YEAR([1]retail_sales_cleaned_dataset!B274)</f>
        <v>2025</v>
      </c>
      <c r="M274" s="2" t="str">
        <f t="shared" si="9"/>
        <v>46+</v>
      </c>
    </row>
    <row r="275" spans="1:13" x14ac:dyDescent="0.25">
      <c r="A275" s="2">
        <v>274</v>
      </c>
      <c r="B275" s="1">
        <v>45765</v>
      </c>
      <c r="C275" t="s">
        <v>205</v>
      </c>
      <c r="D275" t="s">
        <v>12</v>
      </c>
      <c r="E275">
        <v>25</v>
      </c>
      <c r="F275" s="2" t="s">
        <v>13</v>
      </c>
      <c r="G275" s="2">
        <v>2</v>
      </c>
      <c r="H275" s="5">
        <v>500</v>
      </c>
      <c r="I275" s="5">
        <f t="shared" si="8"/>
        <v>1000</v>
      </c>
      <c r="J275" s="2" t="str">
        <f>TEXT([1]retail_sales_cleaned_dataset!B275,"mmmm")</f>
        <v>April</v>
      </c>
      <c r="K275" s="2">
        <f>MONTH([1]retail_sales_cleaned_dataset!B275)</f>
        <v>4</v>
      </c>
      <c r="L275" s="2">
        <f>YEAR([1]retail_sales_cleaned_dataset!B275)</f>
        <v>2025</v>
      </c>
      <c r="M275" s="2" t="str">
        <f t="shared" si="9"/>
        <v>18-25</v>
      </c>
    </row>
    <row r="276" spans="1:13" x14ac:dyDescent="0.25">
      <c r="A276" s="2">
        <v>275</v>
      </c>
      <c r="B276" s="1">
        <v>45765</v>
      </c>
      <c r="C276" t="s">
        <v>206</v>
      </c>
      <c r="D276" t="s">
        <v>12</v>
      </c>
      <c r="E276">
        <v>57</v>
      </c>
      <c r="F276" s="2" t="s">
        <v>13</v>
      </c>
      <c r="G276" s="2">
        <v>2</v>
      </c>
      <c r="H276" s="5">
        <v>500</v>
      </c>
      <c r="I276" s="5">
        <f t="shared" si="8"/>
        <v>1000</v>
      </c>
      <c r="J276" s="2" t="str">
        <f>TEXT([1]retail_sales_cleaned_dataset!B276,"mmmm")</f>
        <v>April</v>
      </c>
      <c r="K276" s="2">
        <f>MONTH([1]retail_sales_cleaned_dataset!B276)</f>
        <v>4</v>
      </c>
      <c r="L276" s="2">
        <f>YEAR([1]retail_sales_cleaned_dataset!B276)</f>
        <v>2025</v>
      </c>
      <c r="M276" s="2" t="str">
        <f t="shared" si="9"/>
        <v>46+</v>
      </c>
    </row>
    <row r="277" spans="1:13" x14ac:dyDescent="0.25">
      <c r="A277" s="2">
        <v>276</v>
      </c>
      <c r="B277" s="1">
        <v>45765</v>
      </c>
      <c r="C277" t="s">
        <v>207</v>
      </c>
      <c r="D277" t="s">
        <v>12</v>
      </c>
      <c r="E277">
        <v>61</v>
      </c>
      <c r="F277" s="2" t="s">
        <v>10</v>
      </c>
      <c r="G277" s="2">
        <v>4</v>
      </c>
      <c r="H277" s="5">
        <v>25</v>
      </c>
      <c r="I277" s="5">
        <f t="shared" si="8"/>
        <v>100</v>
      </c>
      <c r="J277" s="2" t="str">
        <f>TEXT([1]retail_sales_cleaned_dataset!B277,"mmmm")</f>
        <v>April</v>
      </c>
      <c r="K277" s="2">
        <f>MONTH([1]retail_sales_cleaned_dataset!B277)</f>
        <v>4</v>
      </c>
      <c r="L277" s="2">
        <f>YEAR([1]retail_sales_cleaned_dataset!B277)</f>
        <v>2025</v>
      </c>
      <c r="M277" s="2" t="str">
        <f t="shared" si="9"/>
        <v>46+</v>
      </c>
    </row>
    <row r="278" spans="1:13" x14ac:dyDescent="0.25">
      <c r="A278" s="2">
        <v>277</v>
      </c>
      <c r="B278" s="1">
        <v>45765</v>
      </c>
      <c r="C278" t="s">
        <v>208</v>
      </c>
      <c r="D278" t="s">
        <v>9</v>
      </c>
      <c r="E278">
        <v>36</v>
      </c>
      <c r="F278" s="2" t="s">
        <v>13</v>
      </c>
      <c r="G278" s="2">
        <v>4</v>
      </c>
      <c r="H278" s="5">
        <v>25</v>
      </c>
      <c r="I278" s="5">
        <f t="shared" si="8"/>
        <v>100</v>
      </c>
      <c r="J278" s="2" t="str">
        <f>TEXT([1]retail_sales_cleaned_dataset!B278,"mmmm")</f>
        <v>April</v>
      </c>
      <c r="K278" s="2">
        <f>MONTH([1]retail_sales_cleaned_dataset!B278)</f>
        <v>4</v>
      </c>
      <c r="L278" s="2">
        <f>YEAR([1]retail_sales_cleaned_dataset!B278)</f>
        <v>2025</v>
      </c>
      <c r="M278" s="2" t="str">
        <f t="shared" si="9"/>
        <v>36-45</v>
      </c>
    </row>
    <row r="279" spans="1:13" x14ac:dyDescent="0.25">
      <c r="A279" s="2">
        <v>278</v>
      </c>
      <c r="B279" s="1">
        <v>45766</v>
      </c>
      <c r="C279" t="s">
        <v>209</v>
      </c>
      <c r="D279" t="s">
        <v>12</v>
      </c>
      <c r="E279">
        <v>59</v>
      </c>
      <c r="F279" s="2" t="s">
        <v>13</v>
      </c>
      <c r="G279" s="2">
        <v>4</v>
      </c>
      <c r="H279" s="5">
        <v>25</v>
      </c>
      <c r="I279" s="5">
        <f t="shared" si="8"/>
        <v>100</v>
      </c>
      <c r="J279" s="2" t="str">
        <f>TEXT([1]retail_sales_cleaned_dataset!B279,"mmmm")</f>
        <v>April</v>
      </c>
      <c r="K279" s="2">
        <f>MONTH([1]retail_sales_cleaned_dataset!B279)</f>
        <v>4</v>
      </c>
      <c r="L279" s="2">
        <f>YEAR([1]retail_sales_cleaned_dataset!B279)</f>
        <v>2025</v>
      </c>
      <c r="M279" s="2" t="str">
        <f t="shared" si="9"/>
        <v>46+</v>
      </c>
    </row>
    <row r="280" spans="1:13" x14ac:dyDescent="0.25">
      <c r="A280" s="2">
        <v>279</v>
      </c>
      <c r="B280" s="1">
        <v>45766</v>
      </c>
      <c r="C280" t="s">
        <v>88</v>
      </c>
      <c r="D280" t="s">
        <v>9</v>
      </c>
      <c r="E280">
        <v>58</v>
      </c>
      <c r="F280" s="2" t="s">
        <v>13</v>
      </c>
      <c r="G280" s="2">
        <v>1</v>
      </c>
      <c r="H280" s="5">
        <v>500</v>
      </c>
      <c r="I280" s="5">
        <f t="shared" si="8"/>
        <v>500</v>
      </c>
      <c r="J280" s="2" t="str">
        <f>TEXT([1]retail_sales_cleaned_dataset!B280,"mmmm")</f>
        <v>April</v>
      </c>
      <c r="K280" s="2">
        <f>MONTH([1]retail_sales_cleaned_dataset!B280)</f>
        <v>4</v>
      </c>
      <c r="L280" s="2">
        <f>YEAR([1]retail_sales_cleaned_dataset!B280)</f>
        <v>2025</v>
      </c>
      <c r="M280" s="2" t="str">
        <f t="shared" si="9"/>
        <v>46+</v>
      </c>
    </row>
    <row r="281" spans="1:13" x14ac:dyDescent="0.25">
      <c r="A281" s="2">
        <v>280</v>
      </c>
      <c r="B281" s="1">
        <v>45766</v>
      </c>
      <c r="C281" t="s">
        <v>210</v>
      </c>
      <c r="D281" t="s">
        <v>9</v>
      </c>
      <c r="E281">
        <v>54</v>
      </c>
      <c r="F281" s="2" t="s">
        <v>13</v>
      </c>
      <c r="G281" s="2">
        <v>3</v>
      </c>
      <c r="H281" s="5">
        <v>500</v>
      </c>
      <c r="I281" s="5">
        <f t="shared" si="8"/>
        <v>1500</v>
      </c>
      <c r="J281" s="2" t="str">
        <f>TEXT([1]retail_sales_cleaned_dataset!B281,"mmmm")</f>
        <v>April</v>
      </c>
      <c r="K281" s="2">
        <f>MONTH([1]retail_sales_cleaned_dataset!B281)</f>
        <v>4</v>
      </c>
      <c r="L281" s="2">
        <f>YEAR([1]retail_sales_cleaned_dataset!B281)</f>
        <v>2025</v>
      </c>
      <c r="M281" s="2" t="str">
        <f t="shared" si="9"/>
        <v>46+</v>
      </c>
    </row>
    <row r="282" spans="1:13" x14ac:dyDescent="0.25">
      <c r="A282" s="2">
        <v>281</v>
      </c>
      <c r="B282" s="1">
        <v>45766</v>
      </c>
      <c r="C282" t="s">
        <v>151</v>
      </c>
      <c r="D282" t="s">
        <v>12</v>
      </c>
      <c r="E282">
        <v>23</v>
      </c>
      <c r="F282" s="2" t="s">
        <v>10</v>
      </c>
      <c r="G282" s="2">
        <v>4</v>
      </c>
      <c r="H282" s="5">
        <v>500</v>
      </c>
      <c r="I282" s="5">
        <f t="shared" si="8"/>
        <v>2000</v>
      </c>
      <c r="J282" s="2" t="str">
        <f>TEXT([1]retail_sales_cleaned_dataset!B282,"mmmm")</f>
        <v>April</v>
      </c>
      <c r="K282" s="2">
        <f>MONTH([1]retail_sales_cleaned_dataset!B282)</f>
        <v>4</v>
      </c>
      <c r="L282" s="2">
        <f>YEAR([1]retail_sales_cleaned_dataset!B282)</f>
        <v>2025</v>
      </c>
      <c r="M282" s="2" t="str">
        <f t="shared" si="9"/>
        <v>18-25</v>
      </c>
    </row>
    <row r="283" spans="1:13" x14ac:dyDescent="0.25">
      <c r="A283" s="2">
        <v>282</v>
      </c>
      <c r="B283" s="1">
        <v>45766</v>
      </c>
      <c r="C283" t="s">
        <v>211</v>
      </c>
      <c r="D283" t="s">
        <v>12</v>
      </c>
      <c r="E283">
        <v>43</v>
      </c>
      <c r="F283" s="2" t="s">
        <v>15</v>
      </c>
      <c r="G283" s="2">
        <v>4</v>
      </c>
      <c r="H283" s="5">
        <v>50</v>
      </c>
      <c r="I283" s="5">
        <f t="shared" si="8"/>
        <v>200</v>
      </c>
      <c r="J283" s="2" t="str">
        <f>TEXT([1]retail_sales_cleaned_dataset!B283,"mmmm")</f>
        <v>April</v>
      </c>
      <c r="K283" s="2">
        <f>MONTH([1]retail_sales_cleaned_dataset!B283)</f>
        <v>4</v>
      </c>
      <c r="L283" s="2">
        <f>YEAR([1]retail_sales_cleaned_dataset!B283)</f>
        <v>2025</v>
      </c>
      <c r="M283" s="2" t="str">
        <f t="shared" si="9"/>
        <v>36-45</v>
      </c>
    </row>
    <row r="284" spans="1:13" x14ac:dyDescent="0.25">
      <c r="A284" s="2">
        <v>283</v>
      </c>
      <c r="B284" s="1">
        <v>45766</v>
      </c>
      <c r="C284" t="s">
        <v>212</v>
      </c>
      <c r="D284" t="s">
        <v>12</v>
      </c>
      <c r="E284">
        <v>51</v>
      </c>
      <c r="F284" s="2" t="s">
        <v>15</v>
      </c>
      <c r="G284" s="2">
        <v>1</v>
      </c>
      <c r="H284" s="5">
        <v>500</v>
      </c>
      <c r="I284" s="5">
        <f t="shared" si="8"/>
        <v>500</v>
      </c>
      <c r="J284" s="2" t="str">
        <f>TEXT([1]retail_sales_cleaned_dataset!B284,"mmmm")</f>
        <v>April</v>
      </c>
      <c r="K284" s="2">
        <f>MONTH([1]retail_sales_cleaned_dataset!B284)</f>
        <v>4</v>
      </c>
      <c r="L284" s="2">
        <f>YEAR([1]retail_sales_cleaned_dataset!B284)</f>
        <v>2025</v>
      </c>
      <c r="M284" s="2" t="str">
        <f t="shared" si="9"/>
        <v>46+</v>
      </c>
    </row>
    <row r="285" spans="1:13" x14ac:dyDescent="0.25">
      <c r="A285" s="2">
        <v>284</v>
      </c>
      <c r="B285" s="1">
        <v>45767</v>
      </c>
      <c r="C285" t="s">
        <v>25</v>
      </c>
      <c r="D285" t="s">
        <v>12</v>
      </c>
      <c r="E285">
        <v>62</v>
      </c>
      <c r="F285" s="2" t="s">
        <v>13</v>
      </c>
      <c r="G285" s="2">
        <v>4</v>
      </c>
      <c r="H285" s="5">
        <v>50</v>
      </c>
      <c r="I285" s="5">
        <f t="shared" si="8"/>
        <v>200</v>
      </c>
      <c r="J285" s="2" t="str">
        <f>TEXT([1]retail_sales_cleaned_dataset!B285,"mmmm")</f>
        <v>April</v>
      </c>
      <c r="K285" s="2">
        <f>MONTH([1]retail_sales_cleaned_dataset!B285)</f>
        <v>4</v>
      </c>
      <c r="L285" s="2">
        <f>YEAR([1]retail_sales_cleaned_dataset!B285)</f>
        <v>2025</v>
      </c>
      <c r="M285" s="2" t="str">
        <f t="shared" si="9"/>
        <v>46+</v>
      </c>
    </row>
    <row r="286" spans="1:13" x14ac:dyDescent="0.25">
      <c r="A286" s="2">
        <v>285</v>
      </c>
      <c r="B286" s="1">
        <v>45767</v>
      </c>
      <c r="C286" t="s">
        <v>213</v>
      </c>
      <c r="D286" t="s">
        <v>12</v>
      </c>
      <c r="E286">
        <v>23</v>
      </c>
      <c r="F286" s="2" t="s">
        <v>15</v>
      </c>
      <c r="G286" s="2">
        <v>1</v>
      </c>
      <c r="H286" s="5">
        <v>25</v>
      </c>
      <c r="I286" s="5">
        <f t="shared" si="8"/>
        <v>25</v>
      </c>
      <c r="J286" s="2" t="str">
        <f>TEXT([1]retail_sales_cleaned_dataset!B286,"mmmm")</f>
        <v>April</v>
      </c>
      <c r="K286" s="2">
        <f>MONTH([1]retail_sales_cleaned_dataset!B286)</f>
        <v>4</v>
      </c>
      <c r="L286" s="2">
        <f>YEAR([1]retail_sales_cleaned_dataset!B286)</f>
        <v>2025</v>
      </c>
      <c r="M286" s="2" t="str">
        <f t="shared" si="9"/>
        <v>18-25</v>
      </c>
    </row>
    <row r="287" spans="1:13" x14ac:dyDescent="0.25">
      <c r="A287" s="2">
        <v>286</v>
      </c>
      <c r="B287" s="1">
        <v>45767</v>
      </c>
      <c r="C287" t="s">
        <v>125</v>
      </c>
      <c r="D287" t="s">
        <v>12</v>
      </c>
      <c r="E287">
        <v>54</v>
      </c>
      <c r="F287" s="2" t="s">
        <v>15</v>
      </c>
      <c r="G287" s="2">
        <v>2</v>
      </c>
      <c r="H287" s="5">
        <v>25</v>
      </c>
      <c r="I287" s="5">
        <f t="shared" si="8"/>
        <v>50</v>
      </c>
      <c r="J287" s="2" t="str">
        <f>TEXT([1]retail_sales_cleaned_dataset!B287,"mmmm")</f>
        <v>April</v>
      </c>
      <c r="K287" s="2">
        <f>MONTH([1]retail_sales_cleaned_dataset!B287)</f>
        <v>4</v>
      </c>
      <c r="L287" s="2">
        <f>YEAR([1]retail_sales_cleaned_dataset!B287)</f>
        <v>2025</v>
      </c>
      <c r="M287" s="2" t="str">
        <f t="shared" si="9"/>
        <v>46+</v>
      </c>
    </row>
    <row r="288" spans="1:13" x14ac:dyDescent="0.25">
      <c r="A288" s="2">
        <v>287</v>
      </c>
      <c r="B288" s="1">
        <v>45767</v>
      </c>
      <c r="C288" t="s">
        <v>214</v>
      </c>
      <c r="D288" t="s">
        <v>12</v>
      </c>
      <c r="E288">
        <v>50</v>
      </c>
      <c r="F288" s="2" t="s">
        <v>13</v>
      </c>
      <c r="G288" s="2">
        <v>4</v>
      </c>
      <c r="H288" s="5">
        <v>25</v>
      </c>
      <c r="I288" s="5">
        <f t="shared" si="8"/>
        <v>100</v>
      </c>
      <c r="J288" s="2" t="str">
        <f>TEXT([1]retail_sales_cleaned_dataset!B288,"mmmm")</f>
        <v>April</v>
      </c>
      <c r="K288" s="2">
        <f>MONTH([1]retail_sales_cleaned_dataset!B288)</f>
        <v>4</v>
      </c>
      <c r="L288" s="2">
        <f>YEAR([1]retail_sales_cleaned_dataset!B288)</f>
        <v>2025</v>
      </c>
      <c r="M288" s="2" t="str">
        <f t="shared" si="9"/>
        <v>46+</v>
      </c>
    </row>
    <row r="289" spans="1:13" x14ac:dyDescent="0.25">
      <c r="A289" s="2">
        <v>288</v>
      </c>
      <c r="B289" s="1">
        <v>45767</v>
      </c>
      <c r="C289" t="s">
        <v>217</v>
      </c>
      <c r="D289" t="s">
        <v>12</v>
      </c>
      <c r="E289">
        <v>39</v>
      </c>
      <c r="F289" s="2" t="s">
        <v>13</v>
      </c>
      <c r="G289" s="2">
        <v>4</v>
      </c>
      <c r="H289" s="5">
        <v>30</v>
      </c>
      <c r="I289" s="5">
        <f t="shared" si="8"/>
        <v>120</v>
      </c>
      <c r="J289" s="2" t="str">
        <f>TEXT([1]retail_sales_cleaned_dataset!B289,"mmmm")</f>
        <v>April</v>
      </c>
      <c r="K289" s="2">
        <f>MONTH([1]retail_sales_cleaned_dataset!B289)</f>
        <v>4</v>
      </c>
      <c r="L289" s="2">
        <f>YEAR([1]retail_sales_cleaned_dataset!B289)</f>
        <v>2025</v>
      </c>
      <c r="M289" s="2" t="str">
        <f t="shared" si="9"/>
        <v>36-45</v>
      </c>
    </row>
    <row r="290" spans="1:13" x14ac:dyDescent="0.25">
      <c r="A290" s="2">
        <v>289</v>
      </c>
      <c r="B290" s="1">
        <v>45768</v>
      </c>
      <c r="C290" t="s">
        <v>215</v>
      </c>
      <c r="D290" t="s">
        <v>9</v>
      </c>
      <c r="E290">
        <v>38</v>
      </c>
      <c r="F290" s="2" t="s">
        <v>15</v>
      </c>
      <c r="G290" s="2">
        <v>2</v>
      </c>
      <c r="H290" s="5">
        <v>30</v>
      </c>
      <c r="I290" s="5">
        <f t="shared" si="8"/>
        <v>60</v>
      </c>
      <c r="J290" s="2" t="str">
        <f>TEXT([1]retail_sales_cleaned_dataset!B290,"mmmm")</f>
        <v>April</v>
      </c>
      <c r="K290" s="2">
        <f>MONTH([1]retail_sales_cleaned_dataset!B290)</f>
        <v>4</v>
      </c>
      <c r="L290" s="2">
        <f>YEAR([1]retail_sales_cleaned_dataset!B290)</f>
        <v>2025</v>
      </c>
      <c r="M290" s="2" t="str">
        <f t="shared" si="9"/>
        <v>36-45</v>
      </c>
    </row>
    <row r="291" spans="1:13" x14ac:dyDescent="0.25">
      <c r="A291" s="2">
        <v>290</v>
      </c>
      <c r="B291" s="1">
        <v>45768</v>
      </c>
      <c r="C291" t="s">
        <v>216</v>
      </c>
      <c r="D291" t="s">
        <v>12</v>
      </c>
      <c r="E291">
        <v>23</v>
      </c>
      <c r="F291" s="2" t="s">
        <v>10</v>
      </c>
      <c r="G291" s="2">
        <v>2</v>
      </c>
      <c r="H291" s="5">
        <v>300</v>
      </c>
      <c r="I291" s="5">
        <f t="shared" si="8"/>
        <v>600</v>
      </c>
      <c r="J291" s="2" t="str">
        <f>TEXT([1]retail_sales_cleaned_dataset!B291,"mmmm")</f>
        <v>April</v>
      </c>
      <c r="K291" s="2">
        <f>MONTH([1]retail_sales_cleaned_dataset!B291)</f>
        <v>4</v>
      </c>
      <c r="L291" s="2">
        <f>YEAR([1]retail_sales_cleaned_dataset!B291)</f>
        <v>2025</v>
      </c>
      <c r="M291" s="2" t="str">
        <f t="shared" si="9"/>
        <v>18-25</v>
      </c>
    </row>
    <row r="292" spans="1:13" x14ac:dyDescent="0.25">
      <c r="A292" s="2">
        <v>291</v>
      </c>
      <c r="B292" s="1">
        <v>45769</v>
      </c>
      <c r="C292" t="s">
        <v>217</v>
      </c>
      <c r="D292" t="s">
        <v>12</v>
      </c>
      <c r="E292">
        <v>23</v>
      </c>
      <c r="F292" s="2" t="s">
        <v>13</v>
      </c>
      <c r="G292" s="2">
        <v>2</v>
      </c>
      <c r="H292" s="5">
        <v>300</v>
      </c>
      <c r="I292" s="5">
        <f t="shared" si="8"/>
        <v>600</v>
      </c>
      <c r="J292" s="2" t="str">
        <f>TEXT([1]retail_sales_cleaned_dataset!B292,"mmmm")</f>
        <v>April</v>
      </c>
      <c r="K292" s="2">
        <f>MONTH([1]retail_sales_cleaned_dataset!B292)</f>
        <v>4</v>
      </c>
      <c r="L292" s="2">
        <f>YEAR([1]retail_sales_cleaned_dataset!B292)</f>
        <v>2025</v>
      </c>
      <c r="M292" s="2" t="str">
        <f t="shared" si="9"/>
        <v>18-25</v>
      </c>
    </row>
    <row r="293" spans="1:13" x14ac:dyDescent="0.25">
      <c r="A293" s="2">
        <v>292</v>
      </c>
      <c r="B293" s="1">
        <v>45769</v>
      </c>
      <c r="C293" t="s">
        <v>218</v>
      </c>
      <c r="D293" t="s">
        <v>9</v>
      </c>
      <c r="E293">
        <v>21</v>
      </c>
      <c r="F293" s="2" t="s">
        <v>10</v>
      </c>
      <c r="G293" s="2">
        <v>4</v>
      </c>
      <c r="H293" s="5">
        <v>300</v>
      </c>
      <c r="I293" s="5">
        <f t="shared" si="8"/>
        <v>1200</v>
      </c>
      <c r="J293" s="2" t="str">
        <f>TEXT([1]retail_sales_cleaned_dataset!B293,"mmmm")</f>
        <v>April</v>
      </c>
      <c r="K293" s="2">
        <f>MONTH([1]retail_sales_cleaned_dataset!B293)</f>
        <v>4</v>
      </c>
      <c r="L293" s="2">
        <f>YEAR([1]retail_sales_cleaned_dataset!B293)</f>
        <v>2025</v>
      </c>
      <c r="M293" s="2" t="str">
        <f t="shared" si="9"/>
        <v>18-25</v>
      </c>
    </row>
    <row r="294" spans="1:13" x14ac:dyDescent="0.25">
      <c r="A294" s="2">
        <v>293</v>
      </c>
      <c r="B294" s="1">
        <v>45769</v>
      </c>
      <c r="C294" t="s">
        <v>219</v>
      </c>
      <c r="D294" t="s">
        <v>12</v>
      </c>
      <c r="E294">
        <v>47</v>
      </c>
      <c r="F294" s="2" t="s">
        <v>15</v>
      </c>
      <c r="G294" s="2">
        <v>3</v>
      </c>
      <c r="H294" s="5">
        <v>30</v>
      </c>
      <c r="I294" s="5">
        <f t="shared" si="8"/>
        <v>90</v>
      </c>
      <c r="J294" s="2" t="str">
        <f>TEXT([1]retail_sales_cleaned_dataset!B294,"mmmm")</f>
        <v>April</v>
      </c>
      <c r="K294" s="2">
        <f>MONTH([1]retail_sales_cleaned_dataset!B294)</f>
        <v>4</v>
      </c>
      <c r="L294" s="2">
        <f>YEAR([1]retail_sales_cleaned_dataset!B294)</f>
        <v>2025</v>
      </c>
      <c r="M294" s="2" t="str">
        <f t="shared" si="9"/>
        <v>46+</v>
      </c>
    </row>
    <row r="295" spans="1:13" x14ac:dyDescent="0.25">
      <c r="A295" s="2">
        <v>294</v>
      </c>
      <c r="B295" s="1">
        <v>45770</v>
      </c>
      <c r="C295" t="s">
        <v>220</v>
      </c>
      <c r="D295" t="s">
        <v>9</v>
      </c>
      <c r="E295">
        <v>28</v>
      </c>
      <c r="F295" s="2" t="s">
        <v>13</v>
      </c>
      <c r="G295" s="2">
        <v>3</v>
      </c>
      <c r="H295" s="5">
        <v>30</v>
      </c>
      <c r="I295" s="5">
        <f t="shared" si="8"/>
        <v>90</v>
      </c>
      <c r="J295" s="2" t="str">
        <f>TEXT([1]retail_sales_cleaned_dataset!B295,"mmmm")</f>
        <v>April</v>
      </c>
      <c r="K295" s="2">
        <f>MONTH([1]retail_sales_cleaned_dataset!B295)</f>
        <v>4</v>
      </c>
      <c r="L295" s="2">
        <f>YEAR([1]retail_sales_cleaned_dataset!B295)</f>
        <v>2025</v>
      </c>
      <c r="M295" s="2" t="str">
        <f t="shared" si="9"/>
        <v>26-35</v>
      </c>
    </row>
    <row r="296" spans="1:13" x14ac:dyDescent="0.25">
      <c r="A296" s="2">
        <v>295</v>
      </c>
      <c r="B296" s="1">
        <v>45770</v>
      </c>
      <c r="C296" t="s">
        <v>221</v>
      </c>
      <c r="D296" t="s">
        <v>9</v>
      </c>
      <c r="E296">
        <v>47</v>
      </c>
      <c r="F296" s="2" t="s">
        <v>10</v>
      </c>
      <c r="G296" s="2">
        <v>3</v>
      </c>
      <c r="H296" s="5">
        <v>300</v>
      </c>
      <c r="I296" s="5">
        <f t="shared" si="8"/>
        <v>900</v>
      </c>
      <c r="J296" s="2" t="str">
        <f>TEXT([1]retail_sales_cleaned_dataset!B296,"mmmm")</f>
        <v>April</v>
      </c>
      <c r="K296" s="2">
        <f>MONTH([1]retail_sales_cleaned_dataset!B296)</f>
        <v>4</v>
      </c>
      <c r="L296" s="2">
        <f>YEAR([1]retail_sales_cleaned_dataset!B296)</f>
        <v>2025</v>
      </c>
      <c r="M296" s="2" t="str">
        <f t="shared" si="9"/>
        <v>46+</v>
      </c>
    </row>
    <row r="297" spans="1:13" x14ac:dyDescent="0.25">
      <c r="A297" s="2">
        <v>296</v>
      </c>
      <c r="B297" s="1">
        <v>45770</v>
      </c>
      <c r="C297" t="s">
        <v>222</v>
      </c>
      <c r="D297" t="s">
        <v>12</v>
      </c>
      <c r="E297">
        <v>48</v>
      </c>
      <c r="F297" s="2" t="s">
        <v>13</v>
      </c>
      <c r="G297" s="2">
        <v>4</v>
      </c>
      <c r="H297" s="5">
        <v>300</v>
      </c>
      <c r="I297" s="5">
        <f t="shared" si="8"/>
        <v>1200</v>
      </c>
      <c r="J297" s="2" t="str">
        <f>TEXT([1]retail_sales_cleaned_dataset!B297,"mmmm")</f>
        <v>April</v>
      </c>
      <c r="K297" s="2">
        <f>MONTH([1]retail_sales_cleaned_dataset!B297)</f>
        <v>4</v>
      </c>
      <c r="L297" s="2">
        <f>YEAR([1]retail_sales_cleaned_dataset!B297)</f>
        <v>2025</v>
      </c>
      <c r="M297" s="2" t="str">
        <f t="shared" si="9"/>
        <v>46+</v>
      </c>
    </row>
    <row r="298" spans="1:13" x14ac:dyDescent="0.25">
      <c r="A298" s="2">
        <v>297</v>
      </c>
      <c r="B298" s="1">
        <v>45770</v>
      </c>
      <c r="C298" t="s">
        <v>223</v>
      </c>
      <c r="D298" t="s">
        <v>9</v>
      </c>
      <c r="E298">
        <v>41</v>
      </c>
      <c r="F298" s="2" t="s">
        <v>15</v>
      </c>
      <c r="G298" s="2">
        <v>2</v>
      </c>
      <c r="H298" s="5">
        <v>500</v>
      </c>
      <c r="I298" s="5">
        <f t="shared" si="8"/>
        <v>1000</v>
      </c>
      <c r="J298" s="2" t="str">
        <f>TEXT([1]retail_sales_cleaned_dataset!B298,"mmmm")</f>
        <v>April</v>
      </c>
      <c r="K298" s="2">
        <f>MONTH([1]retail_sales_cleaned_dataset!B298)</f>
        <v>4</v>
      </c>
      <c r="L298" s="2">
        <f>YEAR([1]retail_sales_cleaned_dataset!B298)</f>
        <v>2025</v>
      </c>
      <c r="M298" s="2" t="str">
        <f t="shared" si="9"/>
        <v>36-45</v>
      </c>
    </row>
    <row r="299" spans="1:13" x14ac:dyDescent="0.25">
      <c r="A299" s="2">
        <v>298</v>
      </c>
      <c r="B299" s="1">
        <v>45770</v>
      </c>
      <c r="C299" t="s">
        <v>41</v>
      </c>
      <c r="D299" t="s">
        <v>9</v>
      </c>
      <c r="E299">
        <v>26</v>
      </c>
      <c r="F299" s="2" t="s">
        <v>10</v>
      </c>
      <c r="G299" s="2">
        <v>4</v>
      </c>
      <c r="H299" s="5">
        <v>300</v>
      </c>
      <c r="I299" s="5">
        <f t="shared" si="8"/>
        <v>1200</v>
      </c>
      <c r="J299" s="2" t="str">
        <f>TEXT([1]retail_sales_cleaned_dataset!B299,"mmmm")</f>
        <v>April</v>
      </c>
      <c r="K299" s="2">
        <f>MONTH([1]retail_sales_cleaned_dataset!B299)</f>
        <v>4</v>
      </c>
      <c r="L299" s="2">
        <f>YEAR([1]retail_sales_cleaned_dataset!B299)</f>
        <v>2025</v>
      </c>
      <c r="M299" s="2" t="str">
        <f t="shared" si="9"/>
        <v>26-35</v>
      </c>
    </row>
    <row r="300" spans="1:13" x14ac:dyDescent="0.25">
      <c r="A300" s="2">
        <v>299</v>
      </c>
      <c r="B300" s="1">
        <v>45770</v>
      </c>
      <c r="C300" t="s">
        <v>224</v>
      </c>
      <c r="D300" t="s">
        <v>9</v>
      </c>
      <c r="E300">
        <v>20</v>
      </c>
      <c r="F300" s="2" t="s">
        <v>15</v>
      </c>
      <c r="G300" s="2">
        <v>2</v>
      </c>
      <c r="H300" s="5">
        <v>500</v>
      </c>
      <c r="I300" s="5">
        <f t="shared" si="8"/>
        <v>1000</v>
      </c>
      <c r="J300" s="2" t="str">
        <f>TEXT([1]retail_sales_cleaned_dataset!B300,"mmmm")</f>
        <v>April</v>
      </c>
      <c r="K300" s="2">
        <f>MONTH([1]retail_sales_cleaned_dataset!B300)</f>
        <v>4</v>
      </c>
      <c r="L300" s="2">
        <f>YEAR([1]retail_sales_cleaned_dataset!B300)</f>
        <v>2025</v>
      </c>
      <c r="M300" s="2" t="str">
        <f t="shared" si="9"/>
        <v>18-25</v>
      </c>
    </row>
    <row r="301" spans="1:13" x14ac:dyDescent="0.25">
      <c r="A301" s="2">
        <v>300</v>
      </c>
      <c r="B301" s="1">
        <v>45770</v>
      </c>
      <c r="C301" t="s">
        <v>126</v>
      </c>
      <c r="D301" t="s">
        <v>9</v>
      </c>
      <c r="E301">
        <v>48</v>
      </c>
      <c r="F301" s="2" t="s">
        <v>15</v>
      </c>
      <c r="G301" s="2">
        <v>4</v>
      </c>
      <c r="H301" s="5">
        <v>50</v>
      </c>
      <c r="I301" s="5">
        <f t="shared" si="8"/>
        <v>200</v>
      </c>
      <c r="J301" s="2" t="str">
        <f>TEXT([1]retail_sales_cleaned_dataset!B301,"mmmm")</f>
        <v>April</v>
      </c>
      <c r="K301" s="2">
        <f>MONTH([1]retail_sales_cleaned_dataset!B301)</f>
        <v>4</v>
      </c>
      <c r="L301" s="2">
        <f>YEAR([1]retail_sales_cleaned_dataset!B301)</f>
        <v>2025</v>
      </c>
      <c r="M301" s="2" t="str">
        <f t="shared" si="9"/>
        <v>46+</v>
      </c>
    </row>
    <row r="302" spans="1:13" x14ac:dyDescent="0.25">
      <c r="A302" s="2">
        <v>301</v>
      </c>
      <c r="B302" s="1">
        <v>45771</v>
      </c>
      <c r="C302" t="s">
        <v>225</v>
      </c>
      <c r="D302" t="s">
        <v>12</v>
      </c>
      <c r="E302">
        <v>57</v>
      </c>
      <c r="F302" s="2" t="s">
        <v>13</v>
      </c>
      <c r="G302" s="2">
        <v>4</v>
      </c>
      <c r="H302" s="5">
        <v>30</v>
      </c>
      <c r="I302" s="5">
        <f t="shared" si="8"/>
        <v>120</v>
      </c>
      <c r="J302" s="2" t="str">
        <f>TEXT([1]retail_sales_cleaned_dataset!B302,"mmmm")</f>
        <v>April</v>
      </c>
      <c r="K302" s="2">
        <f>MONTH([1]retail_sales_cleaned_dataset!B302)</f>
        <v>4</v>
      </c>
      <c r="L302" s="2">
        <f>YEAR([1]retail_sales_cleaned_dataset!B302)</f>
        <v>2025</v>
      </c>
      <c r="M302" s="2" t="str">
        <f t="shared" si="9"/>
        <v>46+</v>
      </c>
    </row>
    <row r="303" spans="1:13" x14ac:dyDescent="0.25">
      <c r="A303" s="2">
        <v>302</v>
      </c>
      <c r="B303" s="1">
        <v>45771</v>
      </c>
      <c r="C303" t="s">
        <v>224</v>
      </c>
      <c r="D303" t="s">
        <v>9</v>
      </c>
      <c r="E303">
        <v>54</v>
      </c>
      <c r="F303" s="2" t="s">
        <v>10</v>
      </c>
      <c r="G303" s="2">
        <v>2</v>
      </c>
      <c r="H303" s="5">
        <v>300</v>
      </c>
      <c r="I303" s="5">
        <f t="shared" si="8"/>
        <v>600</v>
      </c>
      <c r="J303" s="2" t="str">
        <f>TEXT([1]retail_sales_cleaned_dataset!B303,"mmmm")</f>
        <v>April</v>
      </c>
      <c r="K303" s="2">
        <f>MONTH([1]retail_sales_cleaned_dataset!B303)</f>
        <v>4</v>
      </c>
      <c r="L303" s="2">
        <f>YEAR([1]retail_sales_cleaned_dataset!B303)</f>
        <v>2025</v>
      </c>
      <c r="M303" s="2" t="str">
        <f t="shared" si="9"/>
        <v>46+</v>
      </c>
    </row>
    <row r="304" spans="1:13" x14ac:dyDescent="0.25">
      <c r="A304" s="2">
        <v>303</v>
      </c>
      <c r="B304" s="1">
        <v>45772</v>
      </c>
      <c r="C304" t="s">
        <v>226</v>
      </c>
      <c r="D304" t="s">
        <v>12</v>
      </c>
      <c r="E304">
        <v>53</v>
      </c>
      <c r="F304" s="2" t="s">
        <v>15</v>
      </c>
      <c r="G304" s="2">
        <v>3</v>
      </c>
      <c r="H304" s="5">
        <v>30</v>
      </c>
      <c r="I304" s="5">
        <f t="shared" si="8"/>
        <v>90</v>
      </c>
      <c r="J304" s="2" t="str">
        <f>TEXT([1]retail_sales_cleaned_dataset!B304,"mmmm")</f>
        <v>April</v>
      </c>
      <c r="K304" s="2">
        <f>MONTH([1]retail_sales_cleaned_dataset!B304)</f>
        <v>4</v>
      </c>
      <c r="L304" s="2">
        <f>YEAR([1]retail_sales_cleaned_dataset!B304)</f>
        <v>2025</v>
      </c>
      <c r="M304" s="2" t="str">
        <f t="shared" si="9"/>
        <v>46+</v>
      </c>
    </row>
    <row r="305" spans="1:13" x14ac:dyDescent="0.25">
      <c r="A305" s="2">
        <v>304</v>
      </c>
      <c r="B305" s="1">
        <v>45772</v>
      </c>
      <c r="C305" t="s">
        <v>227</v>
      </c>
      <c r="D305" t="s">
        <v>9</v>
      </c>
      <c r="E305">
        <v>41</v>
      </c>
      <c r="F305" s="2" t="s">
        <v>15</v>
      </c>
      <c r="G305" s="2">
        <v>2</v>
      </c>
      <c r="H305" s="5">
        <v>30</v>
      </c>
      <c r="I305" s="5">
        <f t="shared" si="8"/>
        <v>60</v>
      </c>
      <c r="J305" s="2" t="str">
        <f>TEXT([1]retail_sales_cleaned_dataset!B305,"mmmm")</f>
        <v>April</v>
      </c>
      <c r="K305" s="2">
        <f>MONTH([1]retail_sales_cleaned_dataset!B305)</f>
        <v>4</v>
      </c>
      <c r="L305" s="2">
        <f>YEAR([1]retail_sales_cleaned_dataset!B305)</f>
        <v>2025</v>
      </c>
      <c r="M305" s="2" t="str">
        <f t="shared" si="9"/>
        <v>36-45</v>
      </c>
    </row>
    <row r="306" spans="1:13" x14ac:dyDescent="0.25">
      <c r="A306" s="2">
        <v>305</v>
      </c>
      <c r="B306" s="1">
        <v>45772</v>
      </c>
      <c r="C306" t="s">
        <v>228</v>
      </c>
      <c r="D306" t="s">
        <v>9</v>
      </c>
      <c r="E306">
        <v>48</v>
      </c>
      <c r="F306" s="2" t="s">
        <v>10</v>
      </c>
      <c r="G306" s="2">
        <v>1</v>
      </c>
      <c r="H306" s="5">
        <v>30</v>
      </c>
      <c r="I306" s="5">
        <f t="shared" si="8"/>
        <v>30</v>
      </c>
      <c r="J306" s="2" t="str">
        <f>TEXT([1]retail_sales_cleaned_dataset!B306,"mmmm")</f>
        <v>April</v>
      </c>
      <c r="K306" s="2">
        <f>MONTH([1]retail_sales_cleaned_dataset!B306)</f>
        <v>4</v>
      </c>
      <c r="L306" s="2">
        <f>YEAR([1]retail_sales_cleaned_dataset!B306)</f>
        <v>2025</v>
      </c>
      <c r="M306" s="2" t="str">
        <f t="shared" si="9"/>
        <v>46+</v>
      </c>
    </row>
    <row r="307" spans="1:13" x14ac:dyDescent="0.25">
      <c r="A307" s="2">
        <v>306</v>
      </c>
      <c r="B307" s="1">
        <v>45773</v>
      </c>
      <c r="C307" t="s">
        <v>229</v>
      </c>
      <c r="D307" t="s">
        <v>9</v>
      </c>
      <c r="E307">
        <v>23</v>
      </c>
      <c r="F307" s="2" t="s">
        <v>15</v>
      </c>
      <c r="G307" s="2">
        <v>1</v>
      </c>
      <c r="H307" s="5">
        <v>50</v>
      </c>
      <c r="I307" s="5">
        <f t="shared" si="8"/>
        <v>50</v>
      </c>
      <c r="J307" s="2" t="str">
        <f>TEXT([1]retail_sales_cleaned_dataset!B307,"mmmm")</f>
        <v>April</v>
      </c>
      <c r="K307" s="2">
        <f>MONTH([1]retail_sales_cleaned_dataset!B307)</f>
        <v>4</v>
      </c>
      <c r="L307" s="2">
        <f>YEAR([1]retail_sales_cleaned_dataset!B307)</f>
        <v>2025</v>
      </c>
      <c r="M307" s="2" t="str">
        <f t="shared" si="9"/>
        <v>18-25</v>
      </c>
    </row>
    <row r="308" spans="1:13" x14ac:dyDescent="0.25">
      <c r="A308" s="2">
        <v>307</v>
      </c>
      <c r="B308" s="1">
        <v>45773</v>
      </c>
      <c r="C308" t="s">
        <v>230</v>
      </c>
      <c r="D308" t="s">
        <v>9</v>
      </c>
      <c r="E308">
        <v>19</v>
      </c>
      <c r="F308" s="2" t="s">
        <v>15</v>
      </c>
      <c r="G308" s="2">
        <v>2</v>
      </c>
      <c r="H308" s="5">
        <v>25</v>
      </c>
      <c r="I308" s="5">
        <f t="shared" si="8"/>
        <v>50</v>
      </c>
      <c r="J308" s="2" t="str">
        <f>TEXT([1]retail_sales_cleaned_dataset!B308,"mmmm")</f>
        <v>April</v>
      </c>
      <c r="K308" s="2">
        <f>MONTH([1]retail_sales_cleaned_dataset!B308)</f>
        <v>4</v>
      </c>
      <c r="L308" s="2">
        <f>YEAR([1]retail_sales_cleaned_dataset!B308)</f>
        <v>2025</v>
      </c>
      <c r="M308" s="2" t="str">
        <f t="shared" si="9"/>
        <v>18-25</v>
      </c>
    </row>
    <row r="309" spans="1:13" x14ac:dyDescent="0.25">
      <c r="A309" s="2">
        <v>308</v>
      </c>
      <c r="B309" s="1">
        <v>45773</v>
      </c>
      <c r="C309" t="s">
        <v>231</v>
      </c>
      <c r="D309" t="s">
        <v>12</v>
      </c>
      <c r="E309">
        <v>37</v>
      </c>
      <c r="F309" s="2" t="s">
        <v>10</v>
      </c>
      <c r="G309" s="2">
        <v>4</v>
      </c>
      <c r="H309" s="5">
        <v>300</v>
      </c>
      <c r="I309" s="5">
        <f t="shared" si="8"/>
        <v>1200</v>
      </c>
      <c r="J309" s="2" t="str">
        <f>TEXT([1]retail_sales_cleaned_dataset!B309,"mmmm")</f>
        <v>April</v>
      </c>
      <c r="K309" s="2">
        <f>MONTH([1]retail_sales_cleaned_dataset!B309)</f>
        <v>4</v>
      </c>
      <c r="L309" s="2">
        <f>YEAR([1]retail_sales_cleaned_dataset!B309)</f>
        <v>2025</v>
      </c>
      <c r="M309" s="2" t="str">
        <f t="shared" si="9"/>
        <v>36-45</v>
      </c>
    </row>
    <row r="310" spans="1:13" x14ac:dyDescent="0.25">
      <c r="A310" s="2">
        <v>309</v>
      </c>
      <c r="B310" s="1">
        <v>45774</v>
      </c>
      <c r="C310" t="s">
        <v>232</v>
      </c>
      <c r="D310" t="s">
        <v>12</v>
      </c>
      <c r="E310">
        <v>45</v>
      </c>
      <c r="F310" s="2" t="s">
        <v>10</v>
      </c>
      <c r="G310" s="2">
        <v>1</v>
      </c>
      <c r="H310" s="5">
        <v>25</v>
      </c>
      <c r="I310" s="5">
        <f t="shared" si="8"/>
        <v>25</v>
      </c>
      <c r="J310" s="2" t="str">
        <f>TEXT([1]retail_sales_cleaned_dataset!B310,"mmmm")</f>
        <v>April</v>
      </c>
      <c r="K310" s="2">
        <f>MONTH([1]retail_sales_cleaned_dataset!B310)</f>
        <v>4</v>
      </c>
      <c r="L310" s="2">
        <f>YEAR([1]retail_sales_cleaned_dataset!B310)</f>
        <v>2025</v>
      </c>
      <c r="M310" s="2" t="str">
        <f t="shared" si="9"/>
        <v>36-45</v>
      </c>
    </row>
    <row r="311" spans="1:13" x14ac:dyDescent="0.25">
      <c r="A311" s="2">
        <v>310</v>
      </c>
      <c r="B311" s="1">
        <v>45774</v>
      </c>
      <c r="C311" t="s">
        <v>233</v>
      </c>
      <c r="D311" t="s">
        <v>9</v>
      </c>
      <c r="E311">
        <v>28</v>
      </c>
      <c r="F311" s="2" t="s">
        <v>10</v>
      </c>
      <c r="G311" s="2">
        <v>1</v>
      </c>
      <c r="H311" s="5">
        <v>25</v>
      </c>
      <c r="I311" s="5">
        <f t="shared" si="8"/>
        <v>25</v>
      </c>
      <c r="J311" s="2" t="str">
        <f>TEXT([1]retail_sales_cleaned_dataset!B311,"mmmm")</f>
        <v>April</v>
      </c>
      <c r="K311" s="2">
        <f>MONTH([1]retail_sales_cleaned_dataset!B311)</f>
        <v>4</v>
      </c>
      <c r="L311" s="2">
        <f>YEAR([1]retail_sales_cleaned_dataset!B311)</f>
        <v>2025</v>
      </c>
      <c r="M311" s="2" t="str">
        <f t="shared" si="9"/>
        <v>26-35</v>
      </c>
    </row>
    <row r="312" spans="1:13" x14ac:dyDescent="0.25">
      <c r="A312" s="2">
        <v>311</v>
      </c>
      <c r="B312" s="1">
        <v>45774</v>
      </c>
      <c r="C312" t="s">
        <v>30</v>
      </c>
      <c r="D312" t="s">
        <v>9</v>
      </c>
      <c r="E312">
        <v>21</v>
      </c>
      <c r="F312" s="2" t="s">
        <v>10</v>
      </c>
      <c r="G312" s="2">
        <v>4</v>
      </c>
      <c r="H312" s="5">
        <v>25</v>
      </c>
      <c r="I312" s="5">
        <f t="shared" si="8"/>
        <v>100</v>
      </c>
      <c r="J312" s="2" t="str">
        <f>TEXT([1]retail_sales_cleaned_dataset!B312,"mmmm")</f>
        <v>April</v>
      </c>
      <c r="K312" s="2">
        <f>MONTH([1]retail_sales_cleaned_dataset!B312)</f>
        <v>4</v>
      </c>
      <c r="L312" s="2">
        <f>YEAR([1]retail_sales_cleaned_dataset!B312)</f>
        <v>2025</v>
      </c>
      <c r="M312" s="2" t="str">
        <f t="shared" si="9"/>
        <v>18-25</v>
      </c>
    </row>
    <row r="313" spans="1:13" x14ac:dyDescent="0.25">
      <c r="A313" s="2">
        <v>312</v>
      </c>
      <c r="B313" s="1">
        <v>45775</v>
      </c>
      <c r="C313" t="s">
        <v>234</v>
      </c>
      <c r="D313" t="s">
        <v>12</v>
      </c>
      <c r="E313">
        <v>32</v>
      </c>
      <c r="F313" s="2" t="s">
        <v>13</v>
      </c>
      <c r="G313" s="2">
        <v>4</v>
      </c>
      <c r="H313" s="5">
        <v>30</v>
      </c>
      <c r="I313" s="5">
        <f t="shared" si="8"/>
        <v>120</v>
      </c>
      <c r="J313" s="2" t="str">
        <f>TEXT([1]retail_sales_cleaned_dataset!B313,"mmmm")</f>
        <v>April</v>
      </c>
      <c r="K313" s="2">
        <f>MONTH([1]retail_sales_cleaned_dataset!B313)</f>
        <v>4</v>
      </c>
      <c r="L313" s="2">
        <f>YEAR([1]retail_sales_cleaned_dataset!B313)</f>
        <v>2025</v>
      </c>
      <c r="M313" s="2" t="str">
        <f t="shared" si="9"/>
        <v>26-35</v>
      </c>
    </row>
    <row r="314" spans="1:13" x14ac:dyDescent="0.25">
      <c r="A314" s="2">
        <v>313</v>
      </c>
      <c r="B314" s="1">
        <v>45775</v>
      </c>
      <c r="C314" t="s">
        <v>123</v>
      </c>
      <c r="D314" t="s">
        <v>9</v>
      </c>
      <c r="E314">
        <v>23</v>
      </c>
      <c r="F314" s="2" t="s">
        <v>10</v>
      </c>
      <c r="G314" s="2">
        <v>3</v>
      </c>
      <c r="H314" s="5">
        <v>500</v>
      </c>
      <c r="I314" s="5">
        <f t="shared" si="8"/>
        <v>1500</v>
      </c>
      <c r="J314" s="2" t="str">
        <f>TEXT([1]retail_sales_cleaned_dataset!B314,"mmmm")</f>
        <v>April</v>
      </c>
      <c r="K314" s="2">
        <f>MONTH([1]retail_sales_cleaned_dataset!B314)</f>
        <v>4</v>
      </c>
      <c r="L314" s="2">
        <f>YEAR([1]retail_sales_cleaned_dataset!B314)</f>
        <v>2025</v>
      </c>
      <c r="M314" s="2" t="str">
        <f t="shared" si="9"/>
        <v>18-25</v>
      </c>
    </row>
    <row r="315" spans="1:13" x14ac:dyDescent="0.25">
      <c r="A315" s="2">
        <v>314</v>
      </c>
      <c r="B315" s="1">
        <v>45775</v>
      </c>
      <c r="C315" t="s">
        <v>235</v>
      </c>
      <c r="D315" t="s">
        <v>9</v>
      </c>
      <c r="E315">
        <v>47</v>
      </c>
      <c r="F315" s="2" t="s">
        <v>13</v>
      </c>
      <c r="G315" s="2">
        <v>4</v>
      </c>
      <c r="H315" s="5">
        <v>30</v>
      </c>
      <c r="I315" s="5">
        <f t="shared" si="8"/>
        <v>120</v>
      </c>
      <c r="J315" s="2" t="str">
        <f>TEXT([1]retail_sales_cleaned_dataset!B315,"mmmm")</f>
        <v>April</v>
      </c>
      <c r="K315" s="2">
        <f>MONTH([1]retail_sales_cleaned_dataset!B315)</f>
        <v>4</v>
      </c>
      <c r="L315" s="2">
        <f>YEAR([1]retail_sales_cleaned_dataset!B315)</f>
        <v>2025</v>
      </c>
      <c r="M315" s="2" t="str">
        <f t="shared" si="9"/>
        <v>46+</v>
      </c>
    </row>
    <row r="316" spans="1:13" x14ac:dyDescent="0.25">
      <c r="A316" s="2">
        <v>315</v>
      </c>
      <c r="B316" s="1">
        <v>45776</v>
      </c>
      <c r="C316" t="s">
        <v>125</v>
      </c>
      <c r="D316" t="s">
        <v>9</v>
      </c>
      <c r="E316">
        <v>55</v>
      </c>
      <c r="F316" s="2" t="s">
        <v>13</v>
      </c>
      <c r="G316" s="2">
        <v>2</v>
      </c>
      <c r="H316" s="5">
        <v>30</v>
      </c>
      <c r="I316" s="5">
        <f t="shared" si="8"/>
        <v>60</v>
      </c>
      <c r="J316" s="2" t="str">
        <f>TEXT([1]retail_sales_cleaned_dataset!B316,"mmmm")</f>
        <v>April</v>
      </c>
      <c r="K316" s="2">
        <f>MONTH([1]retail_sales_cleaned_dataset!B316)</f>
        <v>4</v>
      </c>
      <c r="L316" s="2">
        <f>YEAR([1]retail_sales_cleaned_dataset!B316)</f>
        <v>2025</v>
      </c>
      <c r="M316" s="2" t="str">
        <f t="shared" si="9"/>
        <v>46+</v>
      </c>
    </row>
    <row r="317" spans="1:13" x14ac:dyDescent="0.25">
      <c r="A317" s="2">
        <v>316</v>
      </c>
      <c r="B317" s="1">
        <v>45776</v>
      </c>
      <c r="C317" t="s">
        <v>236</v>
      </c>
      <c r="D317" t="s">
        <v>12</v>
      </c>
      <c r="E317">
        <v>19</v>
      </c>
      <c r="F317" s="2" t="s">
        <v>13</v>
      </c>
      <c r="G317" s="2">
        <v>2</v>
      </c>
      <c r="H317" s="5">
        <v>25</v>
      </c>
      <c r="I317" s="5">
        <f t="shared" si="8"/>
        <v>50</v>
      </c>
      <c r="J317" s="2" t="str">
        <f>TEXT([1]retail_sales_cleaned_dataset!B317,"mmmm")</f>
        <v>April</v>
      </c>
      <c r="K317" s="2">
        <f>MONTH([1]retail_sales_cleaned_dataset!B317)</f>
        <v>4</v>
      </c>
      <c r="L317" s="2">
        <f>YEAR([1]retail_sales_cleaned_dataset!B317)</f>
        <v>2025</v>
      </c>
      <c r="M317" s="2" t="str">
        <f t="shared" si="9"/>
        <v>18-25</v>
      </c>
    </row>
    <row r="318" spans="1:13" x14ac:dyDescent="0.25">
      <c r="A318" s="2">
        <v>317</v>
      </c>
      <c r="B318" s="1">
        <v>45776</v>
      </c>
      <c r="C318" t="s">
        <v>120</v>
      </c>
      <c r="D318" t="s">
        <v>12</v>
      </c>
      <c r="E318">
        <v>32</v>
      </c>
      <c r="F318" s="2" t="s">
        <v>15</v>
      </c>
      <c r="G318" s="2">
        <v>3</v>
      </c>
      <c r="H318" s="5">
        <v>30</v>
      </c>
      <c r="I318" s="5">
        <f t="shared" si="8"/>
        <v>90</v>
      </c>
      <c r="J318" s="2" t="str">
        <f>TEXT([1]retail_sales_cleaned_dataset!B318,"mmmm")</f>
        <v>April</v>
      </c>
      <c r="K318" s="2">
        <f>MONTH([1]retail_sales_cleaned_dataset!B318)</f>
        <v>4</v>
      </c>
      <c r="L318" s="2">
        <f>YEAR([1]retail_sales_cleaned_dataset!B318)</f>
        <v>2025</v>
      </c>
      <c r="M318" s="2" t="str">
        <f t="shared" si="9"/>
        <v>26-35</v>
      </c>
    </row>
    <row r="319" spans="1:13" x14ac:dyDescent="0.25">
      <c r="A319" s="2">
        <v>318</v>
      </c>
      <c r="B319" s="1">
        <v>45777</v>
      </c>
      <c r="C319" t="s">
        <v>237</v>
      </c>
      <c r="D319" t="s">
        <v>12</v>
      </c>
      <c r="E319">
        <v>28</v>
      </c>
      <c r="F319" s="2" t="s">
        <v>13</v>
      </c>
      <c r="G319" s="2">
        <v>1</v>
      </c>
      <c r="H319" s="5">
        <v>25</v>
      </c>
      <c r="I319" s="5">
        <f t="shared" si="8"/>
        <v>25</v>
      </c>
      <c r="J319" s="2" t="str">
        <f>TEXT([1]retail_sales_cleaned_dataset!B319,"mmmm")</f>
        <v>April</v>
      </c>
      <c r="K319" s="2">
        <f>MONTH([1]retail_sales_cleaned_dataset!B319)</f>
        <v>4</v>
      </c>
      <c r="L319" s="2">
        <f>YEAR([1]retail_sales_cleaned_dataset!B319)</f>
        <v>2025</v>
      </c>
      <c r="M319" s="2" t="str">
        <f t="shared" si="9"/>
        <v>26-35</v>
      </c>
    </row>
    <row r="320" spans="1:13" x14ac:dyDescent="0.25">
      <c r="A320" s="2">
        <v>319</v>
      </c>
      <c r="B320" s="1">
        <v>45777</v>
      </c>
      <c r="C320" t="s">
        <v>225</v>
      </c>
      <c r="D320" t="s">
        <v>9</v>
      </c>
      <c r="E320">
        <v>25</v>
      </c>
      <c r="F320" s="2" t="s">
        <v>13</v>
      </c>
      <c r="G320" s="2">
        <v>1</v>
      </c>
      <c r="H320" s="5">
        <v>500</v>
      </c>
      <c r="I320" s="5">
        <f t="shared" si="8"/>
        <v>500</v>
      </c>
      <c r="J320" s="2" t="str">
        <f>TEXT([1]retail_sales_cleaned_dataset!B320,"mmmm")</f>
        <v>April</v>
      </c>
      <c r="K320" s="2">
        <f>MONTH([1]retail_sales_cleaned_dataset!B320)</f>
        <v>4</v>
      </c>
      <c r="L320" s="2">
        <f>YEAR([1]retail_sales_cleaned_dataset!B320)</f>
        <v>2025</v>
      </c>
      <c r="M320" s="2" t="str">
        <f t="shared" si="9"/>
        <v>18-25</v>
      </c>
    </row>
    <row r="321" spans="1:13" x14ac:dyDescent="0.25">
      <c r="A321" s="2">
        <v>320</v>
      </c>
      <c r="B321" s="1">
        <v>45777</v>
      </c>
      <c r="C321" t="s">
        <v>238</v>
      </c>
      <c r="D321" t="s">
        <v>9</v>
      </c>
      <c r="E321">
        <v>43</v>
      </c>
      <c r="F321" s="2" t="s">
        <v>15</v>
      </c>
      <c r="G321" s="2">
        <v>4</v>
      </c>
      <c r="H321" s="5">
        <v>300</v>
      </c>
      <c r="I321" s="5">
        <f t="shared" si="8"/>
        <v>1200</v>
      </c>
      <c r="J321" s="2" t="str">
        <f>TEXT([1]retail_sales_cleaned_dataset!B321,"mmmm")</f>
        <v>April</v>
      </c>
      <c r="K321" s="2">
        <f>MONTH([1]retail_sales_cleaned_dataset!B321)</f>
        <v>4</v>
      </c>
      <c r="L321" s="2">
        <f>YEAR([1]retail_sales_cleaned_dataset!B321)</f>
        <v>2025</v>
      </c>
      <c r="M321" s="2" t="str">
        <f t="shared" si="9"/>
        <v>36-45</v>
      </c>
    </row>
    <row r="322" spans="1:13" x14ac:dyDescent="0.25">
      <c r="A322" s="2">
        <v>321</v>
      </c>
      <c r="B322" s="1">
        <v>45778</v>
      </c>
      <c r="C322" t="s">
        <v>239</v>
      </c>
      <c r="D322" t="s">
        <v>12</v>
      </c>
      <c r="E322">
        <v>62</v>
      </c>
      <c r="F322" s="2" t="s">
        <v>15</v>
      </c>
      <c r="G322" s="2">
        <v>2</v>
      </c>
      <c r="H322" s="5">
        <v>25</v>
      </c>
      <c r="I322" s="5">
        <f t="shared" ref="I322:I385" si="10">G322*H322</f>
        <v>50</v>
      </c>
      <c r="J322" s="2" t="str">
        <f>TEXT([1]retail_sales_cleaned_dataset!B322,"mmmm")</f>
        <v>May</v>
      </c>
      <c r="K322" s="2">
        <f>MONTH([1]retail_sales_cleaned_dataset!B322)</f>
        <v>5</v>
      </c>
      <c r="L322" s="2">
        <f>YEAR([1]retail_sales_cleaned_dataset!B322)</f>
        <v>2025</v>
      </c>
      <c r="M322" s="2" t="str">
        <f t="shared" ref="M322:M385" si="11">IF(E322&lt;=25,"18-25",IF(E322&lt;=35,"26-35",IF(E322&lt;=45,"36-45","46+")))</f>
        <v>46+</v>
      </c>
    </row>
    <row r="323" spans="1:13" x14ac:dyDescent="0.25">
      <c r="A323" s="2">
        <v>322</v>
      </c>
      <c r="B323" s="1">
        <v>45778</v>
      </c>
      <c r="C323" t="s">
        <v>240</v>
      </c>
      <c r="D323" t="s">
        <v>12</v>
      </c>
      <c r="E323">
        <v>61</v>
      </c>
      <c r="F323" s="2" t="s">
        <v>15</v>
      </c>
      <c r="G323" s="2">
        <v>1</v>
      </c>
      <c r="H323" s="5">
        <v>500</v>
      </c>
      <c r="I323" s="5">
        <f t="shared" si="10"/>
        <v>500</v>
      </c>
      <c r="J323" s="2" t="str">
        <f>TEXT([1]retail_sales_cleaned_dataset!B323,"mmmm")</f>
        <v>May</v>
      </c>
      <c r="K323" s="2">
        <f>MONTH([1]retail_sales_cleaned_dataset!B323)</f>
        <v>5</v>
      </c>
      <c r="L323" s="2">
        <f>YEAR([1]retail_sales_cleaned_dataset!B323)</f>
        <v>2025</v>
      </c>
      <c r="M323" s="2" t="str">
        <f t="shared" si="11"/>
        <v>46+</v>
      </c>
    </row>
    <row r="324" spans="1:13" x14ac:dyDescent="0.25">
      <c r="A324" s="2">
        <v>323</v>
      </c>
      <c r="B324" s="1">
        <v>45778</v>
      </c>
      <c r="C324" t="s">
        <v>241</v>
      </c>
      <c r="D324" t="s">
        <v>12</v>
      </c>
      <c r="E324">
        <v>22</v>
      </c>
      <c r="F324" s="2" t="s">
        <v>10</v>
      </c>
      <c r="G324" s="2">
        <v>3</v>
      </c>
      <c r="H324" s="5">
        <v>300</v>
      </c>
      <c r="I324" s="5">
        <f t="shared" si="10"/>
        <v>900</v>
      </c>
      <c r="J324" s="2" t="str">
        <f>TEXT([1]retail_sales_cleaned_dataset!B324,"mmmm")</f>
        <v>May</v>
      </c>
      <c r="K324" s="2">
        <f>MONTH([1]retail_sales_cleaned_dataset!B324)</f>
        <v>5</v>
      </c>
      <c r="L324" s="2">
        <f>YEAR([1]retail_sales_cleaned_dataset!B324)</f>
        <v>2025</v>
      </c>
      <c r="M324" s="2" t="str">
        <f t="shared" si="11"/>
        <v>18-25</v>
      </c>
    </row>
    <row r="325" spans="1:13" x14ac:dyDescent="0.25">
      <c r="A325" s="2">
        <v>324</v>
      </c>
      <c r="B325" s="1">
        <v>45779</v>
      </c>
      <c r="C325" t="s">
        <v>242</v>
      </c>
      <c r="D325" t="s">
        <v>12</v>
      </c>
      <c r="E325">
        <v>23</v>
      </c>
      <c r="F325" s="2" t="s">
        <v>15</v>
      </c>
      <c r="G325" s="2">
        <v>3</v>
      </c>
      <c r="H325" s="5">
        <v>50</v>
      </c>
      <c r="I325" s="5">
        <f t="shared" si="10"/>
        <v>150</v>
      </c>
      <c r="J325" s="2" t="str">
        <f>TEXT([1]retail_sales_cleaned_dataset!B325,"mmmm")</f>
        <v>May</v>
      </c>
      <c r="K325" s="2">
        <f>MONTH([1]retail_sales_cleaned_dataset!B325)</f>
        <v>5</v>
      </c>
      <c r="L325" s="2">
        <f>YEAR([1]retail_sales_cleaned_dataset!B325)</f>
        <v>2025</v>
      </c>
      <c r="M325" s="2" t="str">
        <f t="shared" si="11"/>
        <v>18-25</v>
      </c>
    </row>
    <row r="326" spans="1:13" x14ac:dyDescent="0.25">
      <c r="A326" s="2">
        <v>325</v>
      </c>
      <c r="B326" s="1">
        <v>45779</v>
      </c>
      <c r="C326" t="s">
        <v>243</v>
      </c>
      <c r="D326" t="s">
        <v>9</v>
      </c>
      <c r="E326">
        <v>43</v>
      </c>
      <c r="F326" s="2" t="s">
        <v>15</v>
      </c>
      <c r="G326" s="2">
        <v>2</v>
      </c>
      <c r="H326" s="5">
        <v>25</v>
      </c>
      <c r="I326" s="5">
        <f t="shared" si="10"/>
        <v>50</v>
      </c>
      <c r="J326" s="2" t="str">
        <f>TEXT([1]retail_sales_cleaned_dataset!B326,"mmmm")</f>
        <v>May</v>
      </c>
      <c r="K326" s="2">
        <f>MONTH([1]retail_sales_cleaned_dataset!B326)</f>
        <v>5</v>
      </c>
      <c r="L326" s="2">
        <f>YEAR([1]retail_sales_cleaned_dataset!B326)</f>
        <v>2025</v>
      </c>
      <c r="M326" s="2" t="str">
        <f t="shared" si="11"/>
        <v>36-45</v>
      </c>
    </row>
    <row r="327" spans="1:13" x14ac:dyDescent="0.25">
      <c r="A327" s="2">
        <v>326</v>
      </c>
      <c r="B327" s="1">
        <v>45779</v>
      </c>
      <c r="C327" t="s">
        <v>244</v>
      </c>
      <c r="D327" t="s">
        <v>12</v>
      </c>
      <c r="E327">
        <v>21</v>
      </c>
      <c r="F327" s="2" t="s">
        <v>13</v>
      </c>
      <c r="G327" s="2">
        <v>3</v>
      </c>
      <c r="H327" s="5">
        <v>25</v>
      </c>
      <c r="I327" s="5">
        <f t="shared" si="10"/>
        <v>75</v>
      </c>
      <c r="J327" s="2" t="str">
        <f>TEXT([1]retail_sales_cleaned_dataset!B327,"mmmm")</f>
        <v>May</v>
      </c>
      <c r="K327" s="2">
        <f>MONTH([1]retail_sales_cleaned_dataset!B327)</f>
        <v>5</v>
      </c>
      <c r="L327" s="2">
        <f>YEAR([1]retail_sales_cleaned_dataset!B327)</f>
        <v>2025</v>
      </c>
      <c r="M327" s="2" t="str">
        <f t="shared" si="11"/>
        <v>18-25</v>
      </c>
    </row>
    <row r="328" spans="1:13" x14ac:dyDescent="0.25">
      <c r="A328" s="2">
        <v>327</v>
      </c>
      <c r="B328" s="1">
        <v>45780</v>
      </c>
      <c r="C328" t="s">
        <v>245</v>
      </c>
      <c r="D328" t="s">
        <v>9</v>
      </c>
      <c r="E328">
        <v>36</v>
      </c>
      <c r="F328" s="2" t="s">
        <v>15</v>
      </c>
      <c r="G328" s="2">
        <v>3</v>
      </c>
      <c r="H328" s="5">
        <v>50</v>
      </c>
      <c r="I328" s="5">
        <f t="shared" si="10"/>
        <v>150</v>
      </c>
      <c r="J328" s="2" t="str">
        <f>TEXT([1]retail_sales_cleaned_dataset!B328,"mmmm")</f>
        <v>May</v>
      </c>
      <c r="K328" s="2">
        <f>MONTH([1]retail_sales_cleaned_dataset!B328)</f>
        <v>5</v>
      </c>
      <c r="L328" s="2">
        <f>YEAR([1]retail_sales_cleaned_dataset!B328)</f>
        <v>2025</v>
      </c>
      <c r="M328" s="2" t="str">
        <f t="shared" si="11"/>
        <v>36-45</v>
      </c>
    </row>
    <row r="329" spans="1:13" x14ac:dyDescent="0.25">
      <c r="A329" s="2">
        <v>328</v>
      </c>
      <c r="B329" s="1">
        <v>45780</v>
      </c>
      <c r="C329" t="s">
        <v>246</v>
      </c>
      <c r="D329" t="s">
        <v>12</v>
      </c>
      <c r="E329">
        <v>37</v>
      </c>
      <c r="F329" s="2" t="s">
        <v>10</v>
      </c>
      <c r="G329" s="2">
        <v>2</v>
      </c>
      <c r="H329" s="5">
        <v>50</v>
      </c>
      <c r="I329" s="5">
        <f t="shared" si="10"/>
        <v>100</v>
      </c>
      <c r="J329" s="2" t="str">
        <f>TEXT([1]retail_sales_cleaned_dataset!B329,"mmmm")</f>
        <v>May</v>
      </c>
      <c r="K329" s="2">
        <f>MONTH([1]retail_sales_cleaned_dataset!B329)</f>
        <v>5</v>
      </c>
      <c r="L329" s="2">
        <f>YEAR([1]retail_sales_cleaned_dataset!B329)</f>
        <v>2025</v>
      </c>
      <c r="M329" s="2" t="str">
        <f t="shared" si="11"/>
        <v>36-45</v>
      </c>
    </row>
    <row r="330" spans="1:13" x14ac:dyDescent="0.25">
      <c r="A330" s="2">
        <v>329</v>
      </c>
      <c r="B330" s="1">
        <v>45780</v>
      </c>
      <c r="C330" t="s">
        <v>247</v>
      </c>
      <c r="D330" t="s">
        <v>9</v>
      </c>
      <c r="E330">
        <v>50</v>
      </c>
      <c r="F330" s="2" t="s">
        <v>15</v>
      </c>
      <c r="G330" s="2">
        <v>4</v>
      </c>
      <c r="H330" s="5">
        <v>25</v>
      </c>
      <c r="I330" s="5">
        <f t="shared" si="10"/>
        <v>100</v>
      </c>
      <c r="J330" s="2" t="str">
        <f>TEXT([1]retail_sales_cleaned_dataset!B330,"mmmm")</f>
        <v>May</v>
      </c>
      <c r="K330" s="2">
        <f>MONTH([1]retail_sales_cleaned_dataset!B330)</f>
        <v>5</v>
      </c>
      <c r="L330" s="2">
        <f>YEAR([1]retail_sales_cleaned_dataset!B330)</f>
        <v>2025</v>
      </c>
      <c r="M330" s="2" t="str">
        <f t="shared" si="11"/>
        <v>46+</v>
      </c>
    </row>
    <row r="331" spans="1:13" x14ac:dyDescent="0.25">
      <c r="A331" s="2">
        <v>330</v>
      </c>
      <c r="B331" s="1">
        <v>45780</v>
      </c>
      <c r="C331" t="s">
        <v>248</v>
      </c>
      <c r="D331" t="s">
        <v>12</v>
      </c>
      <c r="E331">
        <v>37</v>
      </c>
      <c r="F331" s="2" t="s">
        <v>10</v>
      </c>
      <c r="G331" s="2">
        <v>4</v>
      </c>
      <c r="H331" s="5">
        <v>50</v>
      </c>
      <c r="I331" s="5">
        <f t="shared" si="10"/>
        <v>200</v>
      </c>
      <c r="J331" s="2" t="str">
        <f>TEXT([1]retail_sales_cleaned_dataset!B331,"mmmm")</f>
        <v>May</v>
      </c>
      <c r="K331" s="2">
        <f>MONTH([1]retail_sales_cleaned_dataset!B331)</f>
        <v>5</v>
      </c>
      <c r="L331" s="2">
        <f>YEAR([1]retail_sales_cleaned_dataset!B331)</f>
        <v>2025</v>
      </c>
      <c r="M331" s="2" t="str">
        <f t="shared" si="11"/>
        <v>36-45</v>
      </c>
    </row>
    <row r="332" spans="1:13" x14ac:dyDescent="0.25">
      <c r="A332" s="2">
        <v>331</v>
      </c>
      <c r="B332" s="1">
        <v>45780</v>
      </c>
      <c r="C332" t="s">
        <v>249</v>
      </c>
      <c r="D332" t="s">
        <v>12</v>
      </c>
      <c r="E332">
        <v>29</v>
      </c>
      <c r="F332" s="2" t="s">
        <v>15</v>
      </c>
      <c r="G332" s="2">
        <v>3</v>
      </c>
      <c r="H332" s="5">
        <v>30</v>
      </c>
      <c r="I332" s="5">
        <f t="shared" si="10"/>
        <v>90</v>
      </c>
      <c r="J332" s="2" t="str">
        <f>TEXT([1]retail_sales_cleaned_dataset!B332,"mmmm")</f>
        <v>May</v>
      </c>
      <c r="K332" s="2">
        <f>MONTH([1]retail_sales_cleaned_dataset!B332)</f>
        <v>5</v>
      </c>
      <c r="L332" s="2">
        <f>YEAR([1]retail_sales_cleaned_dataset!B332)</f>
        <v>2025</v>
      </c>
      <c r="M332" s="2" t="str">
        <f t="shared" si="11"/>
        <v>26-35</v>
      </c>
    </row>
    <row r="333" spans="1:13" x14ac:dyDescent="0.25">
      <c r="A333" s="2">
        <v>332</v>
      </c>
      <c r="B333" s="1">
        <v>45781</v>
      </c>
      <c r="C333" t="s">
        <v>250</v>
      </c>
      <c r="D333" t="s">
        <v>12</v>
      </c>
      <c r="E333">
        <v>64</v>
      </c>
      <c r="F333" s="2" t="s">
        <v>15</v>
      </c>
      <c r="G333" s="2">
        <v>4</v>
      </c>
      <c r="H333" s="5">
        <v>300</v>
      </c>
      <c r="I333" s="5">
        <f t="shared" si="10"/>
        <v>1200</v>
      </c>
      <c r="J333" s="2" t="str">
        <f>TEXT([1]retail_sales_cleaned_dataset!B333,"mmmm")</f>
        <v>May</v>
      </c>
      <c r="K333" s="2">
        <f>MONTH([1]retail_sales_cleaned_dataset!B333)</f>
        <v>5</v>
      </c>
      <c r="L333" s="2">
        <f>YEAR([1]retail_sales_cleaned_dataset!B333)</f>
        <v>2025</v>
      </c>
      <c r="M333" s="2" t="str">
        <f t="shared" si="11"/>
        <v>46+</v>
      </c>
    </row>
    <row r="334" spans="1:13" x14ac:dyDescent="0.25">
      <c r="A334" s="2">
        <v>333</v>
      </c>
      <c r="B334" s="1">
        <v>45781</v>
      </c>
      <c r="C334" t="s">
        <v>251</v>
      </c>
      <c r="D334" t="s">
        <v>12</v>
      </c>
      <c r="E334">
        <v>18</v>
      </c>
      <c r="F334" s="2" t="s">
        <v>15</v>
      </c>
      <c r="G334" s="2">
        <v>4</v>
      </c>
      <c r="H334" s="5">
        <v>300</v>
      </c>
      <c r="I334" s="5">
        <f t="shared" si="10"/>
        <v>1200</v>
      </c>
      <c r="J334" s="2" t="str">
        <f>TEXT([1]retail_sales_cleaned_dataset!B334,"mmmm")</f>
        <v>May</v>
      </c>
      <c r="K334" s="2">
        <f>MONTH([1]retail_sales_cleaned_dataset!B334)</f>
        <v>5</v>
      </c>
      <c r="L334" s="2">
        <f>YEAR([1]retail_sales_cleaned_dataset!B334)</f>
        <v>2025</v>
      </c>
      <c r="M334" s="2" t="str">
        <f t="shared" si="11"/>
        <v>18-25</v>
      </c>
    </row>
    <row r="335" spans="1:13" x14ac:dyDescent="0.25">
      <c r="A335" s="2">
        <v>334</v>
      </c>
      <c r="B335" s="1">
        <v>45781</v>
      </c>
      <c r="C335" t="s">
        <v>252</v>
      </c>
      <c r="D335" t="s">
        <v>9</v>
      </c>
      <c r="E335">
        <v>43</v>
      </c>
      <c r="F335" s="2" t="s">
        <v>15</v>
      </c>
      <c r="G335" s="2">
        <v>3</v>
      </c>
      <c r="H335" s="5">
        <v>300</v>
      </c>
      <c r="I335" s="5">
        <f t="shared" si="10"/>
        <v>900</v>
      </c>
      <c r="J335" s="2" t="str">
        <f>TEXT([1]retail_sales_cleaned_dataset!B335,"mmmm")</f>
        <v>May</v>
      </c>
      <c r="K335" s="2">
        <f>MONTH([1]retail_sales_cleaned_dataset!B335)</f>
        <v>5</v>
      </c>
      <c r="L335" s="2">
        <f>YEAR([1]retail_sales_cleaned_dataset!B335)</f>
        <v>2025</v>
      </c>
      <c r="M335" s="2" t="str">
        <f t="shared" si="11"/>
        <v>36-45</v>
      </c>
    </row>
    <row r="336" spans="1:13" x14ac:dyDescent="0.25">
      <c r="A336" s="2">
        <v>335</v>
      </c>
      <c r="B336" s="1">
        <v>45782</v>
      </c>
      <c r="C336" t="s">
        <v>253</v>
      </c>
      <c r="D336" t="s">
        <v>12</v>
      </c>
      <c r="E336">
        <v>31</v>
      </c>
      <c r="F336" s="2" t="s">
        <v>10</v>
      </c>
      <c r="G336" s="2">
        <v>4</v>
      </c>
      <c r="H336" s="5">
        <v>30</v>
      </c>
      <c r="I336" s="5">
        <f t="shared" si="10"/>
        <v>120</v>
      </c>
      <c r="J336" s="2" t="str">
        <f>TEXT([1]retail_sales_cleaned_dataset!B336,"mmmm")</f>
        <v>May</v>
      </c>
      <c r="K336" s="2">
        <f>MONTH([1]retail_sales_cleaned_dataset!B336)</f>
        <v>5</v>
      </c>
      <c r="L336" s="2">
        <f>YEAR([1]retail_sales_cleaned_dataset!B336)</f>
        <v>2025</v>
      </c>
      <c r="M336" s="2" t="str">
        <f t="shared" si="11"/>
        <v>26-35</v>
      </c>
    </row>
    <row r="337" spans="1:13" x14ac:dyDescent="0.25">
      <c r="A337" s="2">
        <v>336</v>
      </c>
      <c r="B337" s="1">
        <v>45782</v>
      </c>
      <c r="C337" t="s">
        <v>254</v>
      </c>
      <c r="D337" t="s">
        <v>9</v>
      </c>
      <c r="E337">
        <v>55</v>
      </c>
      <c r="F337" s="2" t="s">
        <v>10</v>
      </c>
      <c r="G337" s="2">
        <v>3</v>
      </c>
      <c r="H337" s="5">
        <v>50</v>
      </c>
      <c r="I337" s="5">
        <f t="shared" si="10"/>
        <v>150</v>
      </c>
      <c r="J337" s="2" t="str">
        <f>TEXT([1]retail_sales_cleaned_dataset!B337,"mmmm")</f>
        <v>May</v>
      </c>
      <c r="K337" s="2">
        <f>MONTH([1]retail_sales_cleaned_dataset!B337)</f>
        <v>5</v>
      </c>
      <c r="L337" s="2">
        <f>YEAR([1]retail_sales_cleaned_dataset!B337)</f>
        <v>2025</v>
      </c>
      <c r="M337" s="2" t="str">
        <f t="shared" si="11"/>
        <v>46+</v>
      </c>
    </row>
    <row r="338" spans="1:13" x14ac:dyDescent="0.25">
      <c r="A338" s="2">
        <v>337</v>
      </c>
      <c r="B338" s="1">
        <v>45782</v>
      </c>
      <c r="C338" t="s">
        <v>255</v>
      </c>
      <c r="D338" t="s">
        <v>9</v>
      </c>
      <c r="E338">
        <v>54</v>
      </c>
      <c r="F338" s="2" t="s">
        <v>13</v>
      </c>
      <c r="G338" s="2">
        <v>1</v>
      </c>
      <c r="H338" s="5">
        <v>500</v>
      </c>
      <c r="I338" s="5">
        <f t="shared" si="10"/>
        <v>500</v>
      </c>
      <c r="J338" s="2" t="str">
        <f>TEXT([1]retail_sales_cleaned_dataset!B338,"mmmm")</f>
        <v>May</v>
      </c>
      <c r="K338" s="2">
        <f>MONTH([1]retail_sales_cleaned_dataset!B338)</f>
        <v>5</v>
      </c>
      <c r="L338" s="2">
        <f>YEAR([1]retail_sales_cleaned_dataset!B338)</f>
        <v>2025</v>
      </c>
      <c r="M338" s="2" t="str">
        <f t="shared" si="11"/>
        <v>46+</v>
      </c>
    </row>
    <row r="339" spans="1:13" x14ac:dyDescent="0.25">
      <c r="A339" s="2">
        <v>338</v>
      </c>
      <c r="B339" s="1">
        <v>45782</v>
      </c>
      <c r="C339" t="s">
        <v>256</v>
      </c>
      <c r="D339" t="s">
        <v>9</v>
      </c>
      <c r="E339">
        <v>28</v>
      </c>
      <c r="F339" s="2" t="s">
        <v>10</v>
      </c>
      <c r="G339" s="2">
        <v>2</v>
      </c>
      <c r="H339" s="5">
        <v>50</v>
      </c>
      <c r="I339" s="5">
        <f t="shared" si="10"/>
        <v>100</v>
      </c>
      <c r="J339" s="2" t="str">
        <f>TEXT([1]retail_sales_cleaned_dataset!B339,"mmmm")</f>
        <v>May</v>
      </c>
      <c r="K339" s="2">
        <f>MONTH([1]retail_sales_cleaned_dataset!B339)</f>
        <v>5</v>
      </c>
      <c r="L339" s="2">
        <f>YEAR([1]retail_sales_cleaned_dataset!B339)</f>
        <v>2025</v>
      </c>
      <c r="M339" s="2" t="str">
        <f t="shared" si="11"/>
        <v>26-35</v>
      </c>
    </row>
    <row r="340" spans="1:13" x14ac:dyDescent="0.25">
      <c r="A340" s="2">
        <v>339</v>
      </c>
      <c r="B340" s="1">
        <v>45782</v>
      </c>
      <c r="C340" t="s">
        <v>257</v>
      </c>
      <c r="D340" t="s">
        <v>9</v>
      </c>
      <c r="E340">
        <v>53</v>
      </c>
      <c r="F340" s="2" t="s">
        <v>15</v>
      </c>
      <c r="G340" s="2">
        <v>2</v>
      </c>
      <c r="H340" s="5">
        <v>25</v>
      </c>
      <c r="I340" s="5">
        <f t="shared" si="10"/>
        <v>50</v>
      </c>
      <c r="J340" s="2" t="str">
        <f>TEXT([1]retail_sales_cleaned_dataset!B340,"mmmm")</f>
        <v>May</v>
      </c>
      <c r="K340" s="2">
        <f>MONTH([1]retail_sales_cleaned_dataset!B340)</f>
        <v>5</v>
      </c>
      <c r="L340" s="2">
        <f>YEAR([1]retail_sales_cleaned_dataset!B340)</f>
        <v>2025</v>
      </c>
      <c r="M340" s="2" t="str">
        <f t="shared" si="11"/>
        <v>46+</v>
      </c>
    </row>
    <row r="341" spans="1:13" x14ac:dyDescent="0.25">
      <c r="A341" s="2">
        <v>340</v>
      </c>
      <c r="B341" s="1">
        <v>45783</v>
      </c>
      <c r="C341" t="s">
        <v>126</v>
      </c>
      <c r="D341" t="s">
        <v>12</v>
      </c>
      <c r="E341">
        <v>30</v>
      </c>
      <c r="F341" s="2" t="s">
        <v>13</v>
      </c>
      <c r="G341" s="2">
        <v>4</v>
      </c>
      <c r="H341" s="5">
        <v>300</v>
      </c>
      <c r="I341" s="5">
        <f t="shared" si="10"/>
        <v>1200</v>
      </c>
      <c r="J341" s="2" t="str">
        <f>TEXT([1]retail_sales_cleaned_dataset!B341,"mmmm")</f>
        <v>May</v>
      </c>
      <c r="K341" s="2">
        <f>MONTH([1]retail_sales_cleaned_dataset!B341)</f>
        <v>5</v>
      </c>
      <c r="L341" s="2">
        <f>YEAR([1]retail_sales_cleaned_dataset!B341)</f>
        <v>2025</v>
      </c>
      <c r="M341" s="2" t="str">
        <f t="shared" si="11"/>
        <v>26-35</v>
      </c>
    </row>
    <row r="342" spans="1:13" x14ac:dyDescent="0.25">
      <c r="A342" s="2">
        <v>341</v>
      </c>
      <c r="B342" s="1">
        <v>45783</v>
      </c>
      <c r="C342" t="s">
        <v>258</v>
      </c>
      <c r="D342" t="s">
        <v>9</v>
      </c>
      <c r="E342">
        <v>60</v>
      </c>
      <c r="F342" s="2" t="s">
        <v>13</v>
      </c>
      <c r="G342" s="2">
        <v>4</v>
      </c>
      <c r="H342" s="5">
        <v>50</v>
      </c>
      <c r="I342" s="5">
        <f t="shared" si="10"/>
        <v>200</v>
      </c>
      <c r="J342" s="2" t="str">
        <f>TEXT([1]retail_sales_cleaned_dataset!B342,"mmmm")</f>
        <v>May</v>
      </c>
      <c r="K342" s="2">
        <f>MONTH([1]retail_sales_cleaned_dataset!B342)</f>
        <v>5</v>
      </c>
      <c r="L342" s="2">
        <f>YEAR([1]retail_sales_cleaned_dataset!B342)</f>
        <v>2025</v>
      </c>
      <c r="M342" s="2" t="str">
        <f t="shared" si="11"/>
        <v>46+</v>
      </c>
    </row>
    <row r="343" spans="1:13" x14ac:dyDescent="0.25">
      <c r="A343" s="2">
        <v>342</v>
      </c>
      <c r="B343" s="1">
        <v>45783</v>
      </c>
      <c r="C343" t="s">
        <v>120</v>
      </c>
      <c r="D343" t="s">
        <v>9</v>
      </c>
      <c r="E343">
        <v>20</v>
      </c>
      <c r="F343" s="2" t="s">
        <v>13</v>
      </c>
      <c r="G343" s="2">
        <v>4</v>
      </c>
      <c r="H343" s="5">
        <v>500</v>
      </c>
      <c r="I343" s="5">
        <f t="shared" si="10"/>
        <v>2000</v>
      </c>
      <c r="J343" s="2" t="str">
        <f>TEXT([1]retail_sales_cleaned_dataset!B343,"mmmm")</f>
        <v>May</v>
      </c>
      <c r="K343" s="2">
        <f>MONTH([1]retail_sales_cleaned_dataset!B343)</f>
        <v>5</v>
      </c>
      <c r="L343" s="2">
        <f>YEAR([1]retail_sales_cleaned_dataset!B343)</f>
        <v>2025</v>
      </c>
      <c r="M343" s="2" t="str">
        <f t="shared" si="11"/>
        <v>18-25</v>
      </c>
    </row>
    <row r="344" spans="1:13" x14ac:dyDescent="0.25">
      <c r="A344" s="2">
        <v>343</v>
      </c>
      <c r="B344" s="1">
        <v>45783</v>
      </c>
      <c r="C344" t="s">
        <v>259</v>
      </c>
      <c r="D344" t="s">
        <v>9</v>
      </c>
      <c r="E344">
        <v>50</v>
      </c>
      <c r="F344" s="2" t="s">
        <v>15</v>
      </c>
      <c r="G344" s="2">
        <v>2</v>
      </c>
      <c r="H344" s="5">
        <v>25</v>
      </c>
      <c r="I344" s="5">
        <f t="shared" si="10"/>
        <v>50</v>
      </c>
      <c r="J344" s="2" t="str">
        <f>TEXT([1]retail_sales_cleaned_dataset!B344,"mmmm")</f>
        <v>May</v>
      </c>
      <c r="K344" s="2">
        <f>MONTH([1]retail_sales_cleaned_dataset!B344)</f>
        <v>5</v>
      </c>
      <c r="L344" s="2">
        <f>YEAR([1]retail_sales_cleaned_dataset!B344)</f>
        <v>2025</v>
      </c>
      <c r="M344" s="2" t="str">
        <f t="shared" si="11"/>
        <v>46+</v>
      </c>
    </row>
    <row r="345" spans="1:13" x14ac:dyDescent="0.25">
      <c r="A345" s="2">
        <v>344</v>
      </c>
      <c r="B345" s="1">
        <v>45783</v>
      </c>
      <c r="C345" t="s">
        <v>78</v>
      </c>
      <c r="D345" t="s">
        <v>12</v>
      </c>
      <c r="E345">
        <v>23</v>
      </c>
      <c r="F345" s="2" t="s">
        <v>10</v>
      </c>
      <c r="G345" s="2">
        <v>1</v>
      </c>
      <c r="H345" s="5">
        <v>30</v>
      </c>
      <c r="I345" s="5">
        <f t="shared" si="10"/>
        <v>30</v>
      </c>
      <c r="J345" s="2" t="str">
        <f>TEXT([1]retail_sales_cleaned_dataset!B345,"mmmm")</f>
        <v>May</v>
      </c>
      <c r="K345" s="2">
        <f>MONTH([1]retail_sales_cleaned_dataset!B345)</f>
        <v>5</v>
      </c>
      <c r="L345" s="2">
        <f>YEAR([1]retail_sales_cleaned_dataset!B345)</f>
        <v>2025</v>
      </c>
      <c r="M345" s="2" t="str">
        <f t="shared" si="11"/>
        <v>18-25</v>
      </c>
    </row>
    <row r="346" spans="1:13" x14ac:dyDescent="0.25">
      <c r="A346" s="2">
        <v>345</v>
      </c>
      <c r="B346" s="1">
        <v>45784</v>
      </c>
      <c r="C346" t="s">
        <v>260</v>
      </c>
      <c r="D346" t="s">
        <v>12</v>
      </c>
      <c r="E346">
        <v>27</v>
      </c>
      <c r="F346" s="2" t="s">
        <v>15</v>
      </c>
      <c r="G346" s="2">
        <v>1</v>
      </c>
      <c r="H346" s="5">
        <v>30</v>
      </c>
      <c r="I346" s="5">
        <f t="shared" si="10"/>
        <v>30</v>
      </c>
      <c r="J346" s="2" t="str">
        <f>TEXT([1]retail_sales_cleaned_dataset!B346,"mmmm")</f>
        <v>May</v>
      </c>
      <c r="K346" s="2">
        <f>MONTH([1]retail_sales_cleaned_dataset!B346)</f>
        <v>5</v>
      </c>
      <c r="L346" s="2">
        <f>YEAR([1]retail_sales_cleaned_dataset!B346)</f>
        <v>2025</v>
      </c>
      <c r="M346" s="2" t="str">
        <f t="shared" si="11"/>
        <v>26-35</v>
      </c>
    </row>
    <row r="347" spans="1:13" x14ac:dyDescent="0.25">
      <c r="A347" s="2">
        <v>346</v>
      </c>
      <c r="B347" s="1">
        <v>45784</v>
      </c>
      <c r="C347" t="s">
        <v>148</v>
      </c>
      <c r="D347" t="s">
        <v>12</v>
      </c>
      <c r="E347">
        <v>22</v>
      </c>
      <c r="F347" s="2" t="s">
        <v>13</v>
      </c>
      <c r="G347" s="2">
        <v>2</v>
      </c>
      <c r="H347" s="5">
        <v>500</v>
      </c>
      <c r="I347" s="5">
        <f t="shared" si="10"/>
        <v>1000</v>
      </c>
      <c r="J347" s="2" t="str">
        <f>TEXT([1]retail_sales_cleaned_dataset!B347,"mmmm")</f>
        <v>May</v>
      </c>
      <c r="K347" s="2">
        <f>MONTH([1]retail_sales_cleaned_dataset!B347)</f>
        <v>5</v>
      </c>
      <c r="L347" s="2">
        <f>YEAR([1]retail_sales_cleaned_dataset!B347)</f>
        <v>2025</v>
      </c>
      <c r="M347" s="2" t="str">
        <f t="shared" si="11"/>
        <v>18-25</v>
      </c>
    </row>
    <row r="348" spans="1:13" x14ac:dyDescent="0.25">
      <c r="A348" s="2">
        <v>347</v>
      </c>
      <c r="B348" s="1">
        <v>45784</v>
      </c>
      <c r="C348" t="s">
        <v>261</v>
      </c>
      <c r="D348" t="s">
        <v>12</v>
      </c>
      <c r="E348">
        <v>40</v>
      </c>
      <c r="F348" s="2" t="s">
        <v>15</v>
      </c>
      <c r="G348" s="2">
        <v>1</v>
      </c>
      <c r="H348" s="5">
        <v>25</v>
      </c>
      <c r="I348" s="5">
        <f t="shared" si="10"/>
        <v>25</v>
      </c>
      <c r="J348" s="2" t="str">
        <f>TEXT([1]retail_sales_cleaned_dataset!B348,"mmmm")</f>
        <v>May</v>
      </c>
      <c r="K348" s="2">
        <f>MONTH([1]retail_sales_cleaned_dataset!B348)</f>
        <v>5</v>
      </c>
      <c r="L348" s="2">
        <f>YEAR([1]retail_sales_cleaned_dataset!B348)</f>
        <v>2025</v>
      </c>
      <c r="M348" s="2" t="str">
        <f t="shared" si="11"/>
        <v>36-45</v>
      </c>
    </row>
    <row r="349" spans="1:13" x14ac:dyDescent="0.25">
      <c r="A349" s="2">
        <v>348</v>
      </c>
      <c r="B349" s="1">
        <v>45784</v>
      </c>
      <c r="C349" t="s">
        <v>197</v>
      </c>
      <c r="D349" t="s">
        <v>9</v>
      </c>
      <c r="E349">
        <v>27</v>
      </c>
      <c r="F349" s="2" t="s">
        <v>15</v>
      </c>
      <c r="G349" s="2">
        <v>2</v>
      </c>
      <c r="H349" s="5">
        <v>300</v>
      </c>
      <c r="I349" s="5">
        <f t="shared" si="10"/>
        <v>600</v>
      </c>
      <c r="J349" s="2" t="str">
        <f>TEXT([1]retail_sales_cleaned_dataset!B349,"mmmm")</f>
        <v>May</v>
      </c>
      <c r="K349" s="2">
        <f>MONTH([1]retail_sales_cleaned_dataset!B349)</f>
        <v>5</v>
      </c>
      <c r="L349" s="2">
        <f>YEAR([1]retail_sales_cleaned_dataset!B349)</f>
        <v>2025</v>
      </c>
      <c r="M349" s="2" t="str">
        <f t="shared" si="11"/>
        <v>26-35</v>
      </c>
    </row>
    <row r="350" spans="1:13" x14ac:dyDescent="0.25">
      <c r="A350" s="2">
        <v>349</v>
      </c>
      <c r="B350" s="1">
        <v>45784</v>
      </c>
      <c r="C350" t="s">
        <v>162</v>
      </c>
      <c r="D350" t="s">
        <v>9</v>
      </c>
      <c r="E350">
        <v>61</v>
      </c>
      <c r="F350" s="2" t="s">
        <v>10</v>
      </c>
      <c r="G350" s="2">
        <v>1</v>
      </c>
      <c r="H350" s="5">
        <v>50</v>
      </c>
      <c r="I350" s="5">
        <f t="shared" si="10"/>
        <v>50</v>
      </c>
      <c r="J350" s="2" t="str">
        <f>TEXT([1]retail_sales_cleaned_dataset!B350,"mmmm")</f>
        <v>May</v>
      </c>
      <c r="K350" s="2">
        <f>MONTH([1]retail_sales_cleaned_dataset!B350)</f>
        <v>5</v>
      </c>
      <c r="L350" s="2">
        <f>YEAR([1]retail_sales_cleaned_dataset!B350)</f>
        <v>2025</v>
      </c>
      <c r="M350" s="2" t="str">
        <f t="shared" si="11"/>
        <v>46+</v>
      </c>
    </row>
    <row r="351" spans="1:13" x14ac:dyDescent="0.25">
      <c r="A351" s="2">
        <v>350</v>
      </c>
      <c r="B351" s="1">
        <v>45785</v>
      </c>
      <c r="C351" t="s">
        <v>14</v>
      </c>
      <c r="D351" t="s">
        <v>12</v>
      </c>
      <c r="E351">
        <v>19</v>
      </c>
      <c r="F351" s="2" t="s">
        <v>10</v>
      </c>
      <c r="G351" s="2">
        <v>3</v>
      </c>
      <c r="H351" s="5">
        <v>25</v>
      </c>
      <c r="I351" s="5">
        <f t="shared" si="10"/>
        <v>75</v>
      </c>
      <c r="J351" s="2" t="str">
        <f>TEXT([1]retail_sales_cleaned_dataset!B351,"mmmm")</f>
        <v>May</v>
      </c>
      <c r="K351" s="2">
        <f>MONTH([1]retail_sales_cleaned_dataset!B351)</f>
        <v>5</v>
      </c>
      <c r="L351" s="2">
        <f>YEAR([1]retail_sales_cleaned_dataset!B351)</f>
        <v>2025</v>
      </c>
      <c r="M351" s="2" t="str">
        <f t="shared" si="11"/>
        <v>18-25</v>
      </c>
    </row>
    <row r="352" spans="1:13" x14ac:dyDescent="0.25">
      <c r="A352" s="2">
        <v>351</v>
      </c>
      <c r="B352" s="1">
        <v>45785</v>
      </c>
      <c r="C352" t="s">
        <v>263</v>
      </c>
      <c r="D352" t="s">
        <v>9</v>
      </c>
      <c r="E352">
        <v>30</v>
      </c>
      <c r="F352" s="2" t="s">
        <v>13</v>
      </c>
      <c r="G352" s="2">
        <v>3</v>
      </c>
      <c r="H352" s="5">
        <v>30</v>
      </c>
      <c r="I352" s="5">
        <f t="shared" si="10"/>
        <v>90</v>
      </c>
      <c r="J352" s="2" t="str">
        <f>TEXT([1]retail_sales_cleaned_dataset!B352,"mmmm")</f>
        <v>May</v>
      </c>
      <c r="K352" s="2">
        <f>MONTH([1]retail_sales_cleaned_dataset!B352)</f>
        <v>5</v>
      </c>
      <c r="L352" s="2">
        <f>YEAR([1]retail_sales_cleaned_dataset!B352)</f>
        <v>2025</v>
      </c>
      <c r="M352" s="2" t="str">
        <f t="shared" si="11"/>
        <v>26-35</v>
      </c>
    </row>
    <row r="353" spans="1:13" x14ac:dyDescent="0.25">
      <c r="A353" s="2">
        <v>352</v>
      </c>
      <c r="B353" s="1">
        <v>45785</v>
      </c>
      <c r="C353" t="s">
        <v>125</v>
      </c>
      <c r="D353" t="s">
        <v>9</v>
      </c>
      <c r="E353">
        <v>57</v>
      </c>
      <c r="F353" s="2" t="s">
        <v>15</v>
      </c>
      <c r="G353" s="2">
        <v>2</v>
      </c>
      <c r="H353" s="5">
        <v>500</v>
      </c>
      <c r="I353" s="5">
        <f t="shared" si="10"/>
        <v>1000</v>
      </c>
      <c r="J353" s="2" t="str">
        <f>TEXT([1]retail_sales_cleaned_dataset!B353,"mmmm")</f>
        <v>May</v>
      </c>
      <c r="K353" s="2">
        <f>MONTH([1]retail_sales_cleaned_dataset!B353)</f>
        <v>5</v>
      </c>
      <c r="L353" s="2">
        <f>YEAR([1]retail_sales_cleaned_dataset!B353)</f>
        <v>2025</v>
      </c>
      <c r="M353" s="2" t="str">
        <f t="shared" si="11"/>
        <v>46+</v>
      </c>
    </row>
    <row r="354" spans="1:13" x14ac:dyDescent="0.25">
      <c r="A354" s="2">
        <v>353</v>
      </c>
      <c r="B354" s="1">
        <v>45785</v>
      </c>
      <c r="C354" t="s">
        <v>164</v>
      </c>
      <c r="D354" t="s">
        <v>9</v>
      </c>
      <c r="E354">
        <v>19</v>
      </c>
      <c r="F354" s="2" t="s">
        <v>15</v>
      </c>
      <c r="G354" s="2">
        <v>1</v>
      </c>
      <c r="H354" s="5">
        <v>500</v>
      </c>
      <c r="I354" s="5">
        <f t="shared" si="10"/>
        <v>500</v>
      </c>
      <c r="J354" s="2" t="str">
        <f>TEXT([1]retail_sales_cleaned_dataset!B354,"mmmm")</f>
        <v>May</v>
      </c>
      <c r="K354" s="2">
        <f>MONTH([1]retail_sales_cleaned_dataset!B354)</f>
        <v>5</v>
      </c>
      <c r="L354" s="2">
        <f>YEAR([1]retail_sales_cleaned_dataset!B354)</f>
        <v>2025</v>
      </c>
      <c r="M354" s="2" t="str">
        <f t="shared" si="11"/>
        <v>18-25</v>
      </c>
    </row>
    <row r="355" spans="1:13" x14ac:dyDescent="0.25">
      <c r="A355" s="2">
        <v>354</v>
      </c>
      <c r="B355" s="1">
        <v>45785</v>
      </c>
      <c r="C355" t="s">
        <v>265</v>
      </c>
      <c r="D355" t="s">
        <v>12</v>
      </c>
      <c r="E355">
        <v>37</v>
      </c>
      <c r="F355" s="2" t="s">
        <v>10</v>
      </c>
      <c r="G355" s="2">
        <v>4</v>
      </c>
      <c r="H355" s="5">
        <v>50</v>
      </c>
      <c r="I355" s="5">
        <f t="shared" si="10"/>
        <v>200</v>
      </c>
      <c r="J355" s="2" t="str">
        <f>TEXT([1]retail_sales_cleaned_dataset!B355,"mmmm")</f>
        <v>May</v>
      </c>
      <c r="K355" s="2">
        <f>MONTH([1]retail_sales_cleaned_dataset!B355)</f>
        <v>5</v>
      </c>
      <c r="L355" s="2">
        <f>YEAR([1]retail_sales_cleaned_dataset!B355)</f>
        <v>2025</v>
      </c>
      <c r="M355" s="2" t="str">
        <f t="shared" si="11"/>
        <v>36-45</v>
      </c>
    </row>
    <row r="356" spans="1:13" x14ac:dyDescent="0.25">
      <c r="A356" s="2">
        <v>355</v>
      </c>
      <c r="B356" s="1">
        <v>45785</v>
      </c>
      <c r="C356" t="s">
        <v>61</v>
      </c>
      <c r="D356" t="s">
        <v>12</v>
      </c>
      <c r="E356">
        <v>18</v>
      </c>
      <c r="F356" s="2" t="s">
        <v>15</v>
      </c>
      <c r="G356" s="2">
        <v>1</v>
      </c>
      <c r="H356" s="5">
        <v>500</v>
      </c>
      <c r="I356" s="5">
        <f t="shared" si="10"/>
        <v>500</v>
      </c>
      <c r="J356" s="2" t="str">
        <f>TEXT([1]retail_sales_cleaned_dataset!B356,"mmmm")</f>
        <v>May</v>
      </c>
      <c r="K356" s="2">
        <f>MONTH([1]retail_sales_cleaned_dataset!B356)</f>
        <v>5</v>
      </c>
      <c r="L356" s="2">
        <f>YEAR([1]retail_sales_cleaned_dataset!B356)</f>
        <v>2025</v>
      </c>
      <c r="M356" s="2" t="str">
        <f t="shared" si="11"/>
        <v>18-25</v>
      </c>
    </row>
    <row r="357" spans="1:13" x14ac:dyDescent="0.25">
      <c r="A357" s="2">
        <v>356</v>
      </c>
      <c r="B357" s="1">
        <v>45786</v>
      </c>
      <c r="C357" t="s">
        <v>266</v>
      </c>
      <c r="D357" t="s">
        <v>9</v>
      </c>
      <c r="E357">
        <v>54</v>
      </c>
      <c r="F357" s="2" t="s">
        <v>15</v>
      </c>
      <c r="G357" s="2">
        <v>3</v>
      </c>
      <c r="H357" s="5">
        <v>500</v>
      </c>
      <c r="I357" s="5">
        <f t="shared" si="10"/>
        <v>1500</v>
      </c>
      <c r="J357" s="2" t="str">
        <f>TEXT([1]retail_sales_cleaned_dataset!B357,"mmmm")</f>
        <v>May</v>
      </c>
      <c r="K357" s="2">
        <f>MONTH([1]retail_sales_cleaned_dataset!B357)</f>
        <v>5</v>
      </c>
      <c r="L357" s="2">
        <f>YEAR([1]retail_sales_cleaned_dataset!B357)</f>
        <v>2025</v>
      </c>
      <c r="M357" s="2" t="str">
        <f t="shared" si="11"/>
        <v>46+</v>
      </c>
    </row>
    <row r="358" spans="1:13" x14ac:dyDescent="0.25">
      <c r="A358" s="2">
        <v>357</v>
      </c>
      <c r="B358" s="1">
        <v>45786</v>
      </c>
      <c r="C358" t="s">
        <v>267</v>
      </c>
      <c r="D358" t="s">
        <v>12</v>
      </c>
      <c r="E358">
        <v>26</v>
      </c>
      <c r="F358" s="2" t="s">
        <v>15</v>
      </c>
      <c r="G358" s="2">
        <v>3</v>
      </c>
      <c r="H358" s="5">
        <v>25</v>
      </c>
      <c r="I358" s="5">
        <f t="shared" si="10"/>
        <v>75</v>
      </c>
      <c r="J358" s="2" t="str">
        <f>TEXT([1]retail_sales_cleaned_dataset!B358,"mmmm")</f>
        <v>May</v>
      </c>
      <c r="K358" s="2">
        <f>MONTH([1]retail_sales_cleaned_dataset!B358)</f>
        <v>5</v>
      </c>
      <c r="L358" s="2">
        <f>YEAR([1]retail_sales_cleaned_dataset!B358)</f>
        <v>2025</v>
      </c>
      <c r="M358" s="2" t="str">
        <f t="shared" si="11"/>
        <v>26-35</v>
      </c>
    </row>
    <row r="359" spans="1:13" x14ac:dyDescent="0.25">
      <c r="A359" s="2">
        <v>358</v>
      </c>
      <c r="B359" s="1">
        <v>45786</v>
      </c>
      <c r="C359" t="s">
        <v>268</v>
      </c>
      <c r="D359" t="s">
        <v>12</v>
      </c>
      <c r="E359">
        <v>34</v>
      </c>
      <c r="F359" s="2" t="s">
        <v>10</v>
      </c>
      <c r="G359" s="2">
        <v>1</v>
      </c>
      <c r="H359" s="5">
        <v>300</v>
      </c>
      <c r="I359" s="5">
        <f t="shared" si="10"/>
        <v>300</v>
      </c>
      <c r="J359" s="2" t="str">
        <f>TEXT([1]retail_sales_cleaned_dataset!B359,"mmmm")</f>
        <v>May</v>
      </c>
      <c r="K359" s="2">
        <f>MONTH([1]retail_sales_cleaned_dataset!B359)</f>
        <v>5</v>
      </c>
      <c r="L359" s="2">
        <f>YEAR([1]retail_sales_cleaned_dataset!B359)</f>
        <v>2025</v>
      </c>
      <c r="M359" s="2" t="str">
        <f t="shared" si="11"/>
        <v>26-35</v>
      </c>
    </row>
    <row r="360" spans="1:13" x14ac:dyDescent="0.25">
      <c r="A360" s="2">
        <v>359</v>
      </c>
      <c r="B360" s="1">
        <v>45787</v>
      </c>
      <c r="C360" t="s">
        <v>269</v>
      </c>
      <c r="D360" t="s">
        <v>12</v>
      </c>
      <c r="E360">
        <v>26</v>
      </c>
      <c r="F360" s="2" t="s">
        <v>13</v>
      </c>
      <c r="G360" s="2">
        <v>1</v>
      </c>
      <c r="H360" s="5">
        <v>50</v>
      </c>
      <c r="I360" s="5">
        <f t="shared" si="10"/>
        <v>50</v>
      </c>
      <c r="J360" s="2" t="str">
        <f>TEXT([1]retail_sales_cleaned_dataset!B360,"mmmm")</f>
        <v>May</v>
      </c>
      <c r="K360" s="2">
        <f>MONTH([1]retail_sales_cleaned_dataset!B360)</f>
        <v>5</v>
      </c>
      <c r="L360" s="2">
        <f>YEAR([1]retail_sales_cleaned_dataset!B360)</f>
        <v>2025</v>
      </c>
      <c r="M360" s="2" t="str">
        <f t="shared" si="11"/>
        <v>26-35</v>
      </c>
    </row>
    <row r="361" spans="1:13" x14ac:dyDescent="0.25">
      <c r="A361" s="2">
        <v>360</v>
      </c>
      <c r="B361" s="1">
        <v>45787</v>
      </c>
      <c r="C361" t="s">
        <v>270</v>
      </c>
      <c r="D361" t="s">
        <v>12</v>
      </c>
      <c r="E361">
        <v>28</v>
      </c>
      <c r="F361" s="2" t="s">
        <v>13</v>
      </c>
      <c r="G361" s="2">
        <v>4</v>
      </c>
      <c r="H361" s="5">
        <v>25</v>
      </c>
      <c r="I361" s="5">
        <f t="shared" si="10"/>
        <v>100</v>
      </c>
      <c r="J361" s="2" t="str">
        <f>TEXT([1]retail_sales_cleaned_dataset!B361,"mmmm")</f>
        <v>May</v>
      </c>
      <c r="K361" s="2">
        <f>MONTH([1]retail_sales_cleaned_dataset!B361)</f>
        <v>5</v>
      </c>
      <c r="L361" s="2">
        <f>YEAR([1]retail_sales_cleaned_dataset!B361)</f>
        <v>2025</v>
      </c>
      <c r="M361" s="2" t="str">
        <f t="shared" si="11"/>
        <v>26-35</v>
      </c>
    </row>
    <row r="362" spans="1:13" x14ac:dyDescent="0.25">
      <c r="A362" s="2">
        <v>361</v>
      </c>
      <c r="B362" s="1">
        <v>45788</v>
      </c>
      <c r="C362" t="s">
        <v>271</v>
      </c>
      <c r="D362" t="s">
        <v>12</v>
      </c>
      <c r="E362">
        <v>32</v>
      </c>
      <c r="F362" s="2" t="s">
        <v>15</v>
      </c>
      <c r="G362" s="2">
        <v>4</v>
      </c>
      <c r="H362" s="5">
        <v>300</v>
      </c>
      <c r="I362" s="5">
        <f t="shared" si="10"/>
        <v>1200</v>
      </c>
      <c r="J362" s="2" t="str">
        <f>TEXT([1]retail_sales_cleaned_dataset!B362,"mmmm")</f>
        <v>May</v>
      </c>
      <c r="K362" s="2">
        <f>MONTH([1]retail_sales_cleaned_dataset!B362)</f>
        <v>5</v>
      </c>
      <c r="L362" s="2">
        <f>YEAR([1]retail_sales_cleaned_dataset!B362)</f>
        <v>2025</v>
      </c>
      <c r="M362" s="2" t="str">
        <f t="shared" si="11"/>
        <v>26-35</v>
      </c>
    </row>
    <row r="363" spans="1:13" x14ac:dyDescent="0.25">
      <c r="A363" s="2">
        <v>362</v>
      </c>
      <c r="B363" s="1">
        <v>45789</v>
      </c>
      <c r="C363" t="s">
        <v>272</v>
      </c>
      <c r="D363" t="s">
        <v>9</v>
      </c>
      <c r="E363">
        <v>41</v>
      </c>
      <c r="F363" s="2" t="s">
        <v>13</v>
      </c>
      <c r="G363" s="2">
        <v>1</v>
      </c>
      <c r="H363" s="5">
        <v>25</v>
      </c>
      <c r="I363" s="5">
        <f t="shared" si="10"/>
        <v>25</v>
      </c>
      <c r="J363" s="2" t="str">
        <f>TEXT([1]retail_sales_cleaned_dataset!B363,"mmmm")</f>
        <v>May</v>
      </c>
      <c r="K363" s="2">
        <f>MONTH([1]retail_sales_cleaned_dataset!B363)</f>
        <v>5</v>
      </c>
      <c r="L363" s="2">
        <f>YEAR([1]retail_sales_cleaned_dataset!B363)</f>
        <v>2025</v>
      </c>
      <c r="M363" s="2" t="str">
        <f t="shared" si="11"/>
        <v>36-45</v>
      </c>
    </row>
    <row r="364" spans="1:13" x14ac:dyDescent="0.25">
      <c r="A364" s="2">
        <v>363</v>
      </c>
      <c r="B364" s="1">
        <v>45790</v>
      </c>
      <c r="C364" t="s">
        <v>273</v>
      </c>
      <c r="D364" t="s">
        <v>12</v>
      </c>
      <c r="E364">
        <v>55</v>
      </c>
      <c r="F364" s="2" t="s">
        <v>10</v>
      </c>
      <c r="G364" s="2">
        <v>7</v>
      </c>
      <c r="H364" s="5">
        <v>25</v>
      </c>
      <c r="I364" s="5">
        <f t="shared" si="10"/>
        <v>175</v>
      </c>
      <c r="J364" s="2" t="str">
        <f>TEXT([1]retail_sales_cleaned_dataset!B364,"mmmm")</f>
        <v>May</v>
      </c>
      <c r="K364" s="2">
        <f>MONTH([1]retail_sales_cleaned_dataset!B364)</f>
        <v>5</v>
      </c>
      <c r="L364" s="2">
        <f>YEAR([1]retail_sales_cleaned_dataset!B364)</f>
        <v>2025</v>
      </c>
      <c r="M364" s="2" t="str">
        <f t="shared" si="11"/>
        <v>46+</v>
      </c>
    </row>
    <row r="365" spans="1:13" x14ac:dyDescent="0.25">
      <c r="A365" s="2">
        <v>364</v>
      </c>
      <c r="B365" s="1">
        <v>45790</v>
      </c>
      <c r="C365" t="s">
        <v>274</v>
      </c>
      <c r="D365" t="s">
        <v>9</v>
      </c>
      <c r="E365">
        <v>52</v>
      </c>
      <c r="F365" s="2" t="s">
        <v>10</v>
      </c>
      <c r="G365" s="2">
        <v>1</v>
      </c>
      <c r="H365" s="5">
        <v>500</v>
      </c>
      <c r="I365" s="5">
        <f t="shared" si="10"/>
        <v>500</v>
      </c>
      <c r="J365" s="2" t="str">
        <f>TEXT([1]retail_sales_cleaned_dataset!B365,"mmmm")</f>
        <v>May</v>
      </c>
      <c r="K365" s="2">
        <f>MONTH([1]retail_sales_cleaned_dataset!B365)</f>
        <v>5</v>
      </c>
      <c r="L365" s="2">
        <f>YEAR([1]retail_sales_cleaned_dataset!B365)</f>
        <v>2025</v>
      </c>
      <c r="M365" s="2" t="str">
        <f t="shared" si="11"/>
        <v>46+</v>
      </c>
    </row>
    <row r="366" spans="1:13" x14ac:dyDescent="0.25">
      <c r="A366" s="2">
        <v>365</v>
      </c>
      <c r="B366" s="1">
        <v>45791</v>
      </c>
      <c r="C366" t="s">
        <v>275</v>
      </c>
      <c r="D366" t="s">
        <v>9</v>
      </c>
      <c r="E366">
        <v>47</v>
      </c>
      <c r="F366" s="2" t="s">
        <v>13</v>
      </c>
      <c r="G366" s="2">
        <v>1</v>
      </c>
      <c r="H366" s="5">
        <v>300</v>
      </c>
      <c r="I366" s="5">
        <f t="shared" si="10"/>
        <v>300</v>
      </c>
      <c r="J366" s="2" t="str">
        <f>TEXT([1]retail_sales_cleaned_dataset!B366,"mmmm")</f>
        <v>May</v>
      </c>
      <c r="K366" s="2">
        <f>MONTH([1]retail_sales_cleaned_dataset!B366)</f>
        <v>5</v>
      </c>
      <c r="L366" s="2">
        <f>YEAR([1]retail_sales_cleaned_dataset!B366)</f>
        <v>2025</v>
      </c>
      <c r="M366" s="2" t="str">
        <f t="shared" si="11"/>
        <v>46+</v>
      </c>
    </row>
    <row r="367" spans="1:13" x14ac:dyDescent="0.25">
      <c r="A367" s="2">
        <v>366</v>
      </c>
      <c r="B367" s="1">
        <v>45791</v>
      </c>
      <c r="C367" t="s">
        <v>276</v>
      </c>
      <c r="D367" t="s">
        <v>12</v>
      </c>
      <c r="E367">
        <v>48</v>
      </c>
      <c r="F367" s="2" t="s">
        <v>13</v>
      </c>
      <c r="G367" s="2">
        <v>2</v>
      </c>
      <c r="H367" s="5">
        <v>50</v>
      </c>
      <c r="I367" s="5">
        <f t="shared" si="10"/>
        <v>100</v>
      </c>
      <c r="J367" s="2" t="str">
        <f>TEXT([1]retail_sales_cleaned_dataset!B367,"mmmm")</f>
        <v>May</v>
      </c>
      <c r="K367" s="2">
        <f>MONTH([1]retail_sales_cleaned_dataset!B367)</f>
        <v>5</v>
      </c>
      <c r="L367" s="2">
        <f>YEAR([1]retail_sales_cleaned_dataset!B367)</f>
        <v>2025</v>
      </c>
      <c r="M367" s="2" t="str">
        <f t="shared" si="11"/>
        <v>46+</v>
      </c>
    </row>
    <row r="368" spans="1:13" x14ac:dyDescent="0.25">
      <c r="A368" s="2">
        <v>367</v>
      </c>
      <c r="B368" s="1">
        <v>45791</v>
      </c>
      <c r="C368" t="s">
        <v>125</v>
      </c>
      <c r="D368" t="s">
        <v>9</v>
      </c>
      <c r="E368">
        <v>28</v>
      </c>
      <c r="F368" s="2" t="s">
        <v>15</v>
      </c>
      <c r="G368" s="2">
        <v>1</v>
      </c>
      <c r="H368" s="5">
        <v>50</v>
      </c>
      <c r="I368" s="5">
        <f t="shared" si="10"/>
        <v>50</v>
      </c>
      <c r="J368" s="2" t="str">
        <f>TEXT([1]retail_sales_cleaned_dataset!B368,"mmmm")</f>
        <v>May</v>
      </c>
      <c r="K368" s="2">
        <f>MONTH([1]retail_sales_cleaned_dataset!B368)</f>
        <v>5</v>
      </c>
      <c r="L368" s="2">
        <f>YEAR([1]retail_sales_cleaned_dataset!B368)</f>
        <v>2025</v>
      </c>
      <c r="M368" s="2" t="str">
        <f t="shared" si="11"/>
        <v>26-35</v>
      </c>
    </row>
    <row r="369" spans="1:13" x14ac:dyDescent="0.25">
      <c r="A369" s="2">
        <v>368</v>
      </c>
      <c r="B369" s="1">
        <v>45792</v>
      </c>
      <c r="C369" t="s">
        <v>277</v>
      </c>
      <c r="D369" t="s">
        <v>12</v>
      </c>
      <c r="E369">
        <v>32</v>
      </c>
      <c r="F369" s="2" t="s">
        <v>13</v>
      </c>
      <c r="G369" s="2">
        <v>4</v>
      </c>
      <c r="H369" s="5">
        <v>300</v>
      </c>
      <c r="I369" s="5">
        <f t="shared" si="10"/>
        <v>1200</v>
      </c>
      <c r="J369" s="2" t="str">
        <f>TEXT([1]retail_sales_cleaned_dataset!B369,"mmmm")</f>
        <v>May</v>
      </c>
      <c r="K369" s="2">
        <f>MONTH([1]retail_sales_cleaned_dataset!B369)</f>
        <v>5</v>
      </c>
      <c r="L369" s="2">
        <f>YEAR([1]retail_sales_cleaned_dataset!B369)</f>
        <v>2025</v>
      </c>
      <c r="M369" s="2" t="str">
        <f t="shared" si="11"/>
        <v>26-35</v>
      </c>
    </row>
    <row r="370" spans="1:13" x14ac:dyDescent="0.25">
      <c r="A370" s="2">
        <v>369</v>
      </c>
      <c r="B370" s="1">
        <v>45792</v>
      </c>
      <c r="C370" t="s">
        <v>126</v>
      </c>
      <c r="D370" t="s">
        <v>9</v>
      </c>
      <c r="E370">
        <v>23</v>
      </c>
      <c r="F370" s="2" t="s">
        <v>15</v>
      </c>
      <c r="G370" s="2">
        <v>1</v>
      </c>
      <c r="H370" s="5">
        <v>500</v>
      </c>
      <c r="I370" s="5">
        <f t="shared" si="10"/>
        <v>500</v>
      </c>
      <c r="J370" s="2" t="str">
        <f>TEXT([1]retail_sales_cleaned_dataset!B370,"mmmm")</f>
        <v>May</v>
      </c>
      <c r="K370" s="2">
        <f>MONTH([1]retail_sales_cleaned_dataset!B370)</f>
        <v>5</v>
      </c>
      <c r="L370" s="2">
        <f>YEAR([1]retail_sales_cleaned_dataset!B370)</f>
        <v>2025</v>
      </c>
      <c r="M370" s="2" t="str">
        <f t="shared" si="11"/>
        <v>18-25</v>
      </c>
    </row>
    <row r="371" spans="1:13" x14ac:dyDescent="0.25">
      <c r="A371" s="2">
        <v>370</v>
      </c>
      <c r="B371" s="1">
        <v>45792</v>
      </c>
      <c r="C371" t="s">
        <v>278</v>
      </c>
      <c r="D371" t="s">
        <v>12</v>
      </c>
      <c r="E371">
        <v>32</v>
      </c>
      <c r="F371" s="2" t="s">
        <v>15</v>
      </c>
      <c r="G371" s="2">
        <v>2</v>
      </c>
      <c r="H371" s="5">
        <v>30</v>
      </c>
      <c r="I371" s="5">
        <f t="shared" si="10"/>
        <v>60</v>
      </c>
      <c r="J371" s="2" t="str">
        <f>TEXT([1]retail_sales_cleaned_dataset!B371,"mmmm")</f>
        <v>May</v>
      </c>
      <c r="K371" s="2">
        <f>MONTH([1]retail_sales_cleaned_dataset!B371)</f>
        <v>5</v>
      </c>
      <c r="L371" s="2">
        <f>YEAR([1]retail_sales_cleaned_dataset!B371)</f>
        <v>2025</v>
      </c>
      <c r="M371" s="2" t="str">
        <f t="shared" si="11"/>
        <v>26-35</v>
      </c>
    </row>
    <row r="372" spans="1:13" x14ac:dyDescent="0.25">
      <c r="A372" s="2">
        <v>371</v>
      </c>
      <c r="B372" s="1">
        <v>45793</v>
      </c>
      <c r="C372" t="s">
        <v>61</v>
      </c>
      <c r="D372" t="s">
        <v>12</v>
      </c>
      <c r="E372">
        <v>62</v>
      </c>
      <c r="F372" s="2" t="s">
        <v>10</v>
      </c>
      <c r="G372" s="2">
        <v>1</v>
      </c>
      <c r="H372" s="5">
        <v>25</v>
      </c>
      <c r="I372" s="5">
        <f t="shared" si="10"/>
        <v>25</v>
      </c>
      <c r="J372" s="2" t="str">
        <f>TEXT([1]retail_sales_cleaned_dataset!B372,"mmmm")</f>
        <v>May</v>
      </c>
      <c r="K372" s="2">
        <f>MONTH([1]retail_sales_cleaned_dataset!B372)</f>
        <v>5</v>
      </c>
      <c r="L372" s="2">
        <f>YEAR([1]retail_sales_cleaned_dataset!B372)</f>
        <v>2025</v>
      </c>
      <c r="M372" s="2" t="str">
        <f t="shared" si="11"/>
        <v>46+</v>
      </c>
    </row>
    <row r="373" spans="1:13" x14ac:dyDescent="0.25">
      <c r="A373" s="2">
        <v>372</v>
      </c>
      <c r="B373" s="1">
        <v>45793</v>
      </c>
      <c r="C373" t="s">
        <v>279</v>
      </c>
      <c r="D373" t="s">
        <v>12</v>
      </c>
      <c r="E373">
        <v>22</v>
      </c>
      <c r="F373" s="2" t="s">
        <v>10</v>
      </c>
      <c r="G373" s="2">
        <v>3</v>
      </c>
      <c r="H373" s="5">
        <v>500</v>
      </c>
      <c r="I373" s="5">
        <f t="shared" si="10"/>
        <v>1500</v>
      </c>
      <c r="J373" s="2" t="str">
        <f>TEXT([1]retail_sales_cleaned_dataset!B373,"mmmm")</f>
        <v>May</v>
      </c>
      <c r="K373" s="2">
        <f>MONTH([1]retail_sales_cleaned_dataset!B373)</f>
        <v>5</v>
      </c>
      <c r="L373" s="2">
        <f>YEAR([1]retail_sales_cleaned_dataset!B373)</f>
        <v>2025</v>
      </c>
      <c r="M373" s="2" t="str">
        <f t="shared" si="11"/>
        <v>18-25</v>
      </c>
    </row>
    <row r="374" spans="1:13" x14ac:dyDescent="0.25">
      <c r="A374" s="2">
        <v>373</v>
      </c>
      <c r="B374" s="1">
        <v>45793</v>
      </c>
      <c r="C374" t="s">
        <v>130</v>
      </c>
      <c r="D374" t="s">
        <v>12</v>
      </c>
      <c r="E374">
        <v>21</v>
      </c>
      <c r="F374" s="2" t="s">
        <v>10</v>
      </c>
      <c r="G374" s="2">
        <v>2</v>
      </c>
      <c r="H374" s="5">
        <v>300</v>
      </c>
      <c r="I374" s="5">
        <f t="shared" si="10"/>
        <v>600</v>
      </c>
      <c r="J374" s="2" t="str">
        <f>TEXT([1]retail_sales_cleaned_dataset!B374,"mmmm")</f>
        <v>May</v>
      </c>
      <c r="K374" s="2">
        <f>MONTH([1]retail_sales_cleaned_dataset!B374)</f>
        <v>5</v>
      </c>
      <c r="L374" s="2">
        <f>YEAR([1]retail_sales_cleaned_dataset!B374)</f>
        <v>2025</v>
      </c>
      <c r="M374" s="2" t="str">
        <f t="shared" si="11"/>
        <v>18-25</v>
      </c>
    </row>
    <row r="375" spans="1:13" x14ac:dyDescent="0.25">
      <c r="A375" s="2">
        <v>374</v>
      </c>
      <c r="B375" s="1">
        <v>45793</v>
      </c>
      <c r="C375" t="s">
        <v>280</v>
      </c>
      <c r="D375" t="s">
        <v>12</v>
      </c>
      <c r="E375">
        <v>29</v>
      </c>
      <c r="F375" s="2" t="s">
        <v>10</v>
      </c>
      <c r="G375" s="2">
        <v>3</v>
      </c>
      <c r="H375" s="5">
        <v>25</v>
      </c>
      <c r="I375" s="5">
        <f t="shared" si="10"/>
        <v>75</v>
      </c>
      <c r="J375" s="2" t="str">
        <f>TEXT([1]retail_sales_cleaned_dataset!B375,"mmmm")</f>
        <v>May</v>
      </c>
      <c r="K375" s="2">
        <f>MONTH([1]retail_sales_cleaned_dataset!B375)</f>
        <v>5</v>
      </c>
      <c r="L375" s="2">
        <f>YEAR([1]retail_sales_cleaned_dataset!B375)</f>
        <v>2025</v>
      </c>
      <c r="M375" s="2" t="str">
        <f t="shared" si="11"/>
        <v>26-35</v>
      </c>
    </row>
    <row r="376" spans="1:13" x14ac:dyDescent="0.25">
      <c r="A376" s="2">
        <v>375</v>
      </c>
      <c r="B376" s="1">
        <v>45793</v>
      </c>
      <c r="C376" t="s">
        <v>75</v>
      </c>
      <c r="D376" t="s">
        <v>12</v>
      </c>
      <c r="E376">
        <v>30</v>
      </c>
      <c r="F376" s="2" t="s">
        <v>13</v>
      </c>
      <c r="G376" s="2">
        <v>1</v>
      </c>
      <c r="H376" s="5">
        <v>50</v>
      </c>
      <c r="I376" s="5">
        <f t="shared" si="10"/>
        <v>50</v>
      </c>
      <c r="J376" s="2" t="str">
        <f>TEXT([1]retail_sales_cleaned_dataset!B376,"mmmm")</f>
        <v>May</v>
      </c>
      <c r="K376" s="2">
        <f>MONTH([1]retail_sales_cleaned_dataset!B376)</f>
        <v>5</v>
      </c>
      <c r="L376" s="2">
        <f>YEAR([1]retail_sales_cleaned_dataset!B376)</f>
        <v>2025</v>
      </c>
      <c r="M376" s="2" t="str">
        <f t="shared" si="11"/>
        <v>26-35</v>
      </c>
    </row>
    <row r="377" spans="1:13" x14ac:dyDescent="0.25">
      <c r="A377" s="2">
        <v>376</v>
      </c>
      <c r="B377" s="1">
        <v>45793</v>
      </c>
      <c r="C377" t="s">
        <v>281</v>
      </c>
      <c r="D377" t="s">
        <v>9</v>
      </c>
      <c r="E377">
        <v>20</v>
      </c>
      <c r="F377" s="2" t="s">
        <v>10</v>
      </c>
      <c r="G377" s="2">
        <v>1</v>
      </c>
      <c r="H377" s="5">
        <v>30</v>
      </c>
      <c r="I377" s="5">
        <f t="shared" si="10"/>
        <v>30</v>
      </c>
      <c r="J377" s="2" t="str">
        <f>TEXT([1]retail_sales_cleaned_dataset!B377,"mmmm")</f>
        <v>May</v>
      </c>
      <c r="K377" s="2">
        <f>MONTH([1]retail_sales_cleaned_dataset!B377)</f>
        <v>5</v>
      </c>
      <c r="L377" s="2">
        <f>YEAR([1]retail_sales_cleaned_dataset!B377)</f>
        <v>2025</v>
      </c>
      <c r="M377" s="2" t="str">
        <f t="shared" si="11"/>
        <v>18-25</v>
      </c>
    </row>
    <row r="378" spans="1:13" x14ac:dyDescent="0.25">
      <c r="A378" s="2">
        <v>377</v>
      </c>
      <c r="B378" s="1">
        <v>45793</v>
      </c>
      <c r="C378" t="s">
        <v>153</v>
      </c>
      <c r="D378" t="s">
        <v>12</v>
      </c>
      <c r="E378">
        <v>27</v>
      </c>
      <c r="F378" s="2" t="s">
        <v>13</v>
      </c>
      <c r="G378" s="2">
        <v>4</v>
      </c>
      <c r="H378" s="5">
        <v>50</v>
      </c>
      <c r="I378" s="5">
        <f t="shared" si="10"/>
        <v>200</v>
      </c>
      <c r="J378" s="2" t="str">
        <f>TEXT([1]retail_sales_cleaned_dataset!B378,"mmmm")</f>
        <v>May</v>
      </c>
      <c r="K378" s="2">
        <f>MONTH([1]retail_sales_cleaned_dataset!B378)</f>
        <v>5</v>
      </c>
      <c r="L378" s="2">
        <f>YEAR([1]retail_sales_cleaned_dataset!B378)</f>
        <v>2025</v>
      </c>
      <c r="M378" s="2" t="str">
        <f t="shared" si="11"/>
        <v>26-35</v>
      </c>
    </row>
    <row r="379" spans="1:13" x14ac:dyDescent="0.25">
      <c r="A379" s="2">
        <v>378</v>
      </c>
      <c r="B379" s="1">
        <v>45793</v>
      </c>
      <c r="C379" t="s">
        <v>282</v>
      </c>
      <c r="D379" t="s">
        <v>9</v>
      </c>
      <c r="E379">
        <v>27</v>
      </c>
      <c r="F379" s="2" t="s">
        <v>10</v>
      </c>
      <c r="G379" s="2">
        <v>1</v>
      </c>
      <c r="H379" s="5">
        <v>300</v>
      </c>
      <c r="I379" s="5">
        <f t="shared" si="10"/>
        <v>300</v>
      </c>
      <c r="J379" s="2" t="str">
        <f>TEXT([1]retail_sales_cleaned_dataset!B379,"mmmm")</f>
        <v>May</v>
      </c>
      <c r="K379" s="2">
        <f>MONTH([1]retail_sales_cleaned_dataset!B379)</f>
        <v>5</v>
      </c>
      <c r="L379" s="2">
        <f>YEAR([1]retail_sales_cleaned_dataset!B379)</f>
        <v>2025</v>
      </c>
      <c r="M379" s="2" t="str">
        <f t="shared" si="11"/>
        <v>26-35</v>
      </c>
    </row>
    <row r="380" spans="1:13" x14ac:dyDescent="0.25">
      <c r="A380" s="2">
        <v>379</v>
      </c>
      <c r="B380" s="1">
        <v>45793</v>
      </c>
      <c r="C380" t="s">
        <v>154</v>
      </c>
      <c r="D380" t="s">
        <v>9</v>
      </c>
      <c r="E380">
        <v>57</v>
      </c>
      <c r="F380" s="2" t="s">
        <v>13</v>
      </c>
      <c r="G380" s="2">
        <v>1</v>
      </c>
      <c r="H380" s="5">
        <v>25</v>
      </c>
      <c r="I380" s="5">
        <f t="shared" si="10"/>
        <v>25</v>
      </c>
      <c r="J380" s="2" t="str">
        <f>TEXT([1]retail_sales_cleaned_dataset!B380,"mmmm")</f>
        <v>May</v>
      </c>
      <c r="K380" s="2">
        <f>MONTH([1]retail_sales_cleaned_dataset!B380)</f>
        <v>5</v>
      </c>
      <c r="L380" s="2">
        <f>YEAR([1]retail_sales_cleaned_dataset!B380)</f>
        <v>2025</v>
      </c>
      <c r="M380" s="2" t="str">
        <f t="shared" si="11"/>
        <v>46+</v>
      </c>
    </row>
    <row r="381" spans="1:13" x14ac:dyDescent="0.25">
      <c r="A381" s="2">
        <v>380</v>
      </c>
      <c r="B381" s="1">
        <v>45793</v>
      </c>
      <c r="C381" t="s">
        <v>283</v>
      </c>
      <c r="D381" t="s">
        <v>12</v>
      </c>
      <c r="E381">
        <v>18</v>
      </c>
      <c r="F381" s="2" t="s">
        <v>15</v>
      </c>
      <c r="G381" s="2">
        <v>2</v>
      </c>
      <c r="H381" s="5">
        <v>300</v>
      </c>
      <c r="I381" s="5">
        <f t="shared" si="10"/>
        <v>600</v>
      </c>
      <c r="J381" s="2" t="str">
        <f>TEXT([1]retail_sales_cleaned_dataset!B381,"mmmm")</f>
        <v>May</v>
      </c>
      <c r="K381" s="2">
        <f>MONTH([1]retail_sales_cleaned_dataset!B381)</f>
        <v>5</v>
      </c>
      <c r="L381" s="2">
        <f>YEAR([1]retail_sales_cleaned_dataset!B381)</f>
        <v>2025</v>
      </c>
      <c r="M381" s="2" t="str">
        <f t="shared" si="11"/>
        <v>18-25</v>
      </c>
    </row>
    <row r="382" spans="1:13" x14ac:dyDescent="0.25">
      <c r="A382" s="2">
        <v>381</v>
      </c>
      <c r="B382" s="1">
        <v>45793</v>
      </c>
      <c r="C382" t="s">
        <v>156</v>
      </c>
      <c r="D382" t="s">
        <v>12</v>
      </c>
      <c r="E382">
        <v>34</v>
      </c>
      <c r="F382" s="2" t="s">
        <v>13</v>
      </c>
      <c r="G382" s="2">
        <v>4</v>
      </c>
      <c r="H382" s="5">
        <v>25</v>
      </c>
      <c r="I382" s="5">
        <f t="shared" si="10"/>
        <v>100</v>
      </c>
      <c r="J382" s="2" t="str">
        <f>TEXT([1]retail_sales_cleaned_dataset!B382,"mmmm")</f>
        <v>May</v>
      </c>
      <c r="K382" s="2">
        <f>MONTH([1]retail_sales_cleaned_dataset!B382)</f>
        <v>5</v>
      </c>
      <c r="L382" s="2">
        <f>YEAR([1]retail_sales_cleaned_dataset!B382)</f>
        <v>2025</v>
      </c>
      <c r="M382" s="2" t="str">
        <f t="shared" si="11"/>
        <v>26-35</v>
      </c>
    </row>
    <row r="383" spans="1:13" x14ac:dyDescent="0.25">
      <c r="A383" s="2">
        <v>382</v>
      </c>
      <c r="B383" s="1">
        <v>45794</v>
      </c>
      <c r="C383" t="s">
        <v>284</v>
      </c>
      <c r="D383" t="s">
        <v>12</v>
      </c>
      <c r="E383">
        <v>26</v>
      </c>
      <c r="F383" s="2" t="s">
        <v>13</v>
      </c>
      <c r="G383" s="2">
        <v>2</v>
      </c>
      <c r="H383" s="5">
        <v>500</v>
      </c>
      <c r="I383" s="5">
        <f t="shared" si="10"/>
        <v>1000</v>
      </c>
      <c r="J383" s="2" t="str">
        <f>TEXT([1]retail_sales_cleaned_dataset!B383,"mmmm")</f>
        <v>May</v>
      </c>
      <c r="K383" s="2">
        <f>MONTH([1]retail_sales_cleaned_dataset!B383)</f>
        <v>5</v>
      </c>
      <c r="L383" s="2">
        <f>YEAR([1]retail_sales_cleaned_dataset!B383)</f>
        <v>2025</v>
      </c>
      <c r="M383" s="2" t="str">
        <f t="shared" si="11"/>
        <v>26-35</v>
      </c>
    </row>
    <row r="384" spans="1:13" x14ac:dyDescent="0.25">
      <c r="A384" s="2">
        <v>383</v>
      </c>
      <c r="B384" s="1">
        <v>45794</v>
      </c>
      <c r="C384" t="s">
        <v>159</v>
      </c>
      <c r="D384" t="s">
        <v>12</v>
      </c>
      <c r="E384">
        <v>28</v>
      </c>
      <c r="F384" s="2" t="s">
        <v>10</v>
      </c>
      <c r="G384" s="2">
        <v>3</v>
      </c>
      <c r="H384" s="5">
        <v>30</v>
      </c>
      <c r="I384" s="5">
        <f t="shared" si="10"/>
        <v>90</v>
      </c>
      <c r="J384" s="2" t="str">
        <f>TEXT([1]retail_sales_cleaned_dataset!B384,"mmmm")</f>
        <v>May</v>
      </c>
      <c r="K384" s="2">
        <f>MONTH([1]retail_sales_cleaned_dataset!B384)</f>
        <v>5</v>
      </c>
      <c r="L384" s="2">
        <f>YEAR([1]retail_sales_cleaned_dataset!B384)</f>
        <v>2025</v>
      </c>
      <c r="M384" s="2" t="str">
        <f t="shared" si="11"/>
        <v>26-35</v>
      </c>
    </row>
    <row r="385" spans="1:13" x14ac:dyDescent="0.25">
      <c r="A385" s="2">
        <v>384</v>
      </c>
      <c r="B385" s="1">
        <v>45794</v>
      </c>
      <c r="C385" t="s">
        <v>285</v>
      </c>
      <c r="D385" t="s">
        <v>12</v>
      </c>
      <c r="E385">
        <v>32</v>
      </c>
      <c r="F385" s="2" t="s">
        <v>13</v>
      </c>
      <c r="G385" s="2">
        <v>5</v>
      </c>
      <c r="H385" s="5">
        <v>500</v>
      </c>
      <c r="I385" s="5">
        <f t="shared" si="10"/>
        <v>2500</v>
      </c>
      <c r="J385" s="2" t="str">
        <f>TEXT([1]retail_sales_cleaned_dataset!B385,"mmmm")</f>
        <v>May</v>
      </c>
      <c r="K385" s="2">
        <f>MONTH([1]retail_sales_cleaned_dataset!B385)</f>
        <v>5</v>
      </c>
      <c r="L385" s="2">
        <f>YEAR([1]retail_sales_cleaned_dataset!B385)</f>
        <v>2025</v>
      </c>
      <c r="M385" s="2" t="str">
        <f t="shared" si="11"/>
        <v>26-35</v>
      </c>
    </row>
    <row r="386" spans="1:13" x14ac:dyDescent="0.25">
      <c r="A386" s="2">
        <v>385</v>
      </c>
      <c r="B386" s="1">
        <v>45795</v>
      </c>
      <c r="C386" t="s">
        <v>162</v>
      </c>
      <c r="D386" t="s">
        <v>12</v>
      </c>
      <c r="E386">
        <v>55</v>
      </c>
      <c r="F386" s="2" t="s">
        <v>15</v>
      </c>
      <c r="G386" s="2">
        <v>3</v>
      </c>
      <c r="H386" s="5">
        <v>500</v>
      </c>
      <c r="I386" s="5">
        <f t="shared" ref="I386:I449" si="12">G386*H386</f>
        <v>1500</v>
      </c>
      <c r="J386" s="2" t="str">
        <f>TEXT([1]retail_sales_cleaned_dataset!B386,"mmmm")</f>
        <v>May</v>
      </c>
      <c r="K386" s="2">
        <f>MONTH([1]retail_sales_cleaned_dataset!B386)</f>
        <v>5</v>
      </c>
      <c r="L386" s="2">
        <f>YEAR([1]retail_sales_cleaned_dataset!B386)</f>
        <v>2025</v>
      </c>
      <c r="M386" s="2" t="str">
        <f t="shared" ref="M386:M449" si="13">IF(E386&lt;=25,"18-25",IF(E386&lt;=35,"26-35",IF(E386&lt;=45,"36-45","46+")))</f>
        <v>46+</v>
      </c>
    </row>
    <row r="387" spans="1:13" x14ac:dyDescent="0.25">
      <c r="A387" s="2">
        <v>386</v>
      </c>
      <c r="B387" s="1">
        <v>45795</v>
      </c>
      <c r="C387" t="s">
        <v>286</v>
      </c>
      <c r="D387" t="s">
        <v>12</v>
      </c>
      <c r="E387">
        <v>29</v>
      </c>
      <c r="F387" s="2" t="s">
        <v>15</v>
      </c>
      <c r="G387" s="2">
        <v>2</v>
      </c>
      <c r="H387" s="5">
        <v>300</v>
      </c>
      <c r="I387" s="5">
        <f t="shared" si="12"/>
        <v>600</v>
      </c>
      <c r="J387" s="2" t="str">
        <f>TEXT([1]retail_sales_cleaned_dataset!B387,"mmmm")</f>
        <v>May</v>
      </c>
      <c r="K387" s="2">
        <f>MONTH([1]retail_sales_cleaned_dataset!B387)</f>
        <v>5</v>
      </c>
      <c r="L387" s="2">
        <f>YEAR([1]retail_sales_cleaned_dataset!B387)</f>
        <v>2025</v>
      </c>
      <c r="M387" s="2" t="str">
        <f t="shared" si="13"/>
        <v>26-35</v>
      </c>
    </row>
    <row r="388" spans="1:13" x14ac:dyDescent="0.25">
      <c r="A388" s="2">
        <v>387</v>
      </c>
      <c r="B388" s="1">
        <v>45796</v>
      </c>
      <c r="C388" t="s">
        <v>287</v>
      </c>
      <c r="D388" t="s">
        <v>9</v>
      </c>
      <c r="E388">
        <v>39</v>
      </c>
      <c r="F388" s="2" t="s">
        <v>10</v>
      </c>
      <c r="G388" s="2">
        <v>1</v>
      </c>
      <c r="H388" s="5">
        <v>30</v>
      </c>
      <c r="I388" s="5">
        <f t="shared" si="12"/>
        <v>30</v>
      </c>
      <c r="J388" s="2" t="str">
        <f>TEXT([1]retail_sales_cleaned_dataset!B388,"mmmm")</f>
        <v>May</v>
      </c>
      <c r="K388" s="2">
        <f>MONTH([1]retail_sales_cleaned_dataset!B388)</f>
        <v>5</v>
      </c>
      <c r="L388" s="2">
        <f>YEAR([1]retail_sales_cleaned_dataset!B388)</f>
        <v>2025</v>
      </c>
      <c r="M388" s="2" t="str">
        <f t="shared" si="13"/>
        <v>36-45</v>
      </c>
    </row>
    <row r="389" spans="1:13" x14ac:dyDescent="0.25">
      <c r="A389" s="2">
        <v>388</v>
      </c>
      <c r="B389" s="1">
        <v>45796</v>
      </c>
      <c r="C389" t="s">
        <v>288</v>
      </c>
      <c r="D389" t="s">
        <v>12</v>
      </c>
      <c r="E389">
        <v>25</v>
      </c>
      <c r="F389" s="2" t="s">
        <v>15</v>
      </c>
      <c r="G389" s="2">
        <v>1</v>
      </c>
      <c r="H389" s="5">
        <v>25</v>
      </c>
      <c r="I389" s="5">
        <f t="shared" si="12"/>
        <v>25</v>
      </c>
      <c r="J389" s="2" t="str">
        <f>TEXT([1]retail_sales_cleaned_dataset!B389,"mmmm")</f>
        <v>May</v>
      </c>
      <c r="K389" s="2">
        <f>MONTH([1]retail_sales_cleaned_dataset!B389)</f>
        <v>5</v>
      </c>
      <c r="L389" s="2">
        <f>YEAR([1]retail_sales_cleaned_dataset!B389)</f>
        <v>2025</v>
      </c>
      <c r="M389" s="2" t="str">
        <f t="shared" si="13"/>
        <v>18-25</v>
      </c>
    </row>
    <row r="390" spans="1:13" x14ac:dyDescent="0.25">
      <c r="A390" s="2">
        <v>389</v>
      </c>
      <c r="B390" s="1">
        <v>45796</v>
      </c>
      <c r="C390" t="s">
        <v>289</v>
      </c>
      <c r="D390" t="s">
        <v>12</v>
      </c>
      <c r="E390">
        <v>47</v>
      </c>
      <c r="F390" s="2" t="s">
        <v>13</v>
      </c>
      <c r="G390" s="2">
        <v>2</v>
      </c>
      <c r="H390" s="5">
        <v>25</v>
      </c>
      <c r="I390" s="5">
        <f t="shared" si="12"/>
        <v>50</v>
      </c>
      <c r="J390" s="2" t="str">
        <f>TEXT([1]retail_sales_cleaned_dataset!B390,"mmmm")</f>
        <v>May</v>
      </c>
      <c r="K390" s="2">
        <f>MONTH([1]retail_sales_cleaned_dataset!B390)</f>
        <v>5</v>
      </c>
      <c r="L390" s="2">
        <f>YEAR([1]retail_sales_cleaned_dataset!B390)</f>
        <v>2025</v>
      </c>
      <c r="M390" s="2" t="str">
        <f t="shared" si="13"/>
        <v>46+</v>
      </c>
    </row>
    <row r="391" spans="1:13" x14ac:dyDescent="0.25">
      <c r="A391" s="2">
        <v>390</v>
      </c>
      <c r="B391" s="1">
        <v>45797</v>
      </c>
      <c r="C391" t="s">
        <v>290</v>
      </c>
      <c r="D391" t="s">
        <v>12</v>
      </c>
      <c r="E391">
        <v>52</v>
      </c>
      <c r="F391" s="2" t="s">
        <v>15</v>
      </c>
      <c r="G391" s="2">
        <v>2</v>
      </c>
      <c r="H391" s="5">
        <v>50</v>
      </c>
      <c r="I391" s="5">
        <f t="shared" si="12"/>
        <v>100</v>
      </c>
      <c r="J391" s="2" t="str">
        <f>TEXT([1]retail_sales_cleaned_dataset!B391,"mmmm")</f>
        <v>May</v>
      </c>
      <c r="K391" s="2">
        <f>MONTH([1]retail_sales_cleaned_dataset!B391)</f>
        <v>5</v>
      </c>
      <c r="L391" s="2">
        <f>YEAR([1]retail_sales_cleaned_dataset!B391)</f>
        <v>2025</v>
      </c>
      <c r="M391" s="2" t="str">
        <f t="shared" si="13"/>
        <v>46+</v>
      </c>
    </row>
    <row r="392" spans="1:13" x14ac:dyDescent="0.25">
      <c r="A392" s="2">
        <v>391</v>
      </c>
      <c r="B392" s="1">
        <v>45797</v>
      </c>
      <c r="C392" t="s">
        <v>291</v>
      </c>
      <c r="D392" t="s">
        <v>9</v>
      </c>
      <c r="E392">
        <v>54</v>
      </c>
      <c r="F392" s="2" t="s">
        <v>10</v>
      </c>
      <c r="G392" s="2">
        <v>2</v>
      </c>
      <c r="H392" s="5">
        <v>25</v>
      </c>
      <c r="I392" s="5">
        <f t="shared" si="12"/>
        <v>50</v>
      </c>
      <c r="J392" s="2" t="str">
        <f>TEXT([1]retail_sales_cleaned_dataset!B392,"mmmm")</f>
        <v>May</v>
      </c>
      <c r="K392" s="2">
        <f>MONTH([1]retail_sales_cleaned_dataset!B392)</f>
        <v>5</v>
      </c>
      <c r="L392" s="2">
        <f>YEAR([1]retail_sales_cleaned_dataset!B392)</f>
        <v>2025</v>
      </c>
      <c r="M392" s="2" t="str">
        <f t="shared" si="13"/>
        <v>46+</v>
      </c>
    </row>
    <row r="393" spans="1:13" x14ac:dyDescent="0.25">
      <c r="A393" s="2">
        <v>392</v>
      </c>
      <c r="B393" s="1">
        <v>45797</v>
      </c>
      <c r="C393" t="s">
        <v>292</v>
      </c>
      <c r="D393" t="s">
        <v>12</v>
      </c>
      <c r="E393">
        <v>42</v>
      </c>
      <c r="F393" s="2" t="s">
        <v>13</v>
      </c>
      <c r="G393" s="2">
        <v>2</v>
      </c>
      <c r="H393" s="5">
        <v>300</v>
      </c>
      <c r="I393" s="5">
        <f t="shared" si="12"/>
        <v>600</v>
      </c>
      <c r="J393" s="2" t="str">
        <f>TEXT([1]retail_sales_cleaned_dataset!B393,"mmmm")</f>
        <v>May</v>
      </c>
      <c r="K393" s="2">
        <f>MONTH([1]retail_sales_cleaned_dataset!B393)</f>
        <v>5</v>
      </c>
      <c r="L393" s="2">
        <f>YEAR([1]retail_sales_cleaned_dataset!B393)</f>
        <v>2025</v>
      </c>
      <c r="M393" s="2" t="str">
        <f t="shared" si="13"/>
        <v>36-45</v>
      </c>
    </row>
    <row r="394" spans="1:13" x14ac:dyDescent="0.25">
      <c r="A394" s="2">
        <v>393</v>
      </c>
      <c r="B394" s="1">
        <v>45798</v>
      </c>
      <c r="C394" t="s">
        <v>293</v>
      </c>
      <c r="D394" t="s">
        <v>12</v>
      </c>
      <c r="E394">
        <v>57</v>
      </c>
      <c r="F394" s="2" t="s">
        <v>10</v>
      </c>
      <c r="G394" s="2">
        <v>2</v>
      </c>
      <c r="H394" s="5">
        <v>500</v>
      </c>
      <c r="I394" s="5">
        <f t="shared" si="12"/>
        <v>1000</v>
      </c>
      <c r="J394" s="2" t="str">
        <f>TEXT([1]retail_sales_cleaned_dataset!B394,"mmmm")</f>
        <v>May</v>
      </c>
      <c r="K394" s="2">
        <f>MONTH([1]retail_sales_cleaned_dataset!B394)</f>
        <v>5</v>
      </c>
      <c r="L394" s="2">
        <f>YEAR([1]retail_sales_cleaned_dataset!B394)</f>
        <v>2025</v>
      </c>
      <c r="M394" s="2" t="str">
        <f t="shared" si="13"/>
        <v>46+</v>
      </c>
    </row>
    <row r="395" spans="1:13" x14ac:dyDescent="0.25">
      <c r="A395" s="2">
        <v>394</v>
      </c>
      <c r="B395" s="1">
        <v>45798</v>
      </c>
      <c r="C395" t="s">
        <v>294</v>
      </c>
      <c r="D395" t="s">
        <v>9</v>
      </c>
      <c r="E395">
        <v>25</v>
      </c>
      <c r="F395" s="2" t="s">
        <v>13</v>
      </c>
      <c r="G395" s="2">
        <v>1</v>
      </c>
      <c r="H395" s="5">
        <v>500</v>
      </c>
      <c r="I395" s="5">
        <f t="shared" si="12"/>
        <v>500</v>
      </c>
      <c r="J395" s="2" t="str">
        <f>TEXT([1]retail_sales_cleaned_dataset!B395,"mmmm")</f>
        <v>May</v>
      </c>
      <c r="K395" s="2">
        <f>MONTH([1]retail_sales_cleaned_dataset!B395)</f>
        <v>5</v>
      </c>
      <c r="L395" s="2">
        <f>YEAR([1]retail_sales_cleaned_dataset!B395)</f>
        <v>2025</v>
      </c>
      <c r="M395" s="2" t="str">
        <f t="shared" si="13"/>
        <v>18-25</v>
      </c>
    </row>
    <row r="396" spans="1:13" x14ac:dyDescent="0.25">
      <c r="A396" s="2">
        <v>395</v>
      </c>
      <c r="B396" s="1">
        <v>45798</v>
      </c>
      <c r="C396" t="s">
        <v>295</v>
      </c>
      <c r="D396" t="s">
        <v>12</v>
      </c>
      <c r="E396">
        <v>49</v>
      </c>
      <c r="F396" s="2" t="s">
        <v>15</v>
      </c>
      <c r="G396" s="2">
        <v>2</v>
      </c>
      <c r="H396" s="5">
        <v>500</v>
      </c>
      <c r="I396" s="5">
        <f t="shared" si="12"/>
        <v>1000</v>
      </c>
      <c r="J396" s="2" t="str">
        <f>TEXT([1]retail_sales_cleaned_dataset!B396,"mmmm")</f>
        <v>May</v>
      </c>
      <c r="K396" s="2">
        <f>MONTH([1]retail_sales_cleaned_dataset!B396)</f>
        <v>5</v>
      </c>
      <c r="L396" s="2">
        <f>YEAR([1]retail_sales_cleaned_dataset!B396)</f>
        <v>2025</v>
      </c>
      <c r="M396" s="2" t="str">
        <f t="shared" si="13"/>
        <v>46+</v>
      </c>
    </row>
    <row r="397" spans="1:13" x14ac:dyDescent="0.25">
      <c r="A397" s="2">
        <v>396</v>
      </c>
      <c r="B397" s="1">
        <v>45799</v>
      </c>
      <c r="C397" t="s">
        <v>296</v>
      </c>
      <c r="D397" t="s">
        <v>12</v>
      </c>
      <c r="E397">
        <v>32</v>
      </c>
      <c r="F397" s="2" t="s">
        <v>10</v>
      </c>
      <c r="G397" s="2">
        <v>1</v>
      </c>
      <c r="H397" s="5">
        <v>30</v>
      </c>
      <c r="I397" s="5">
        <f t="shared" si="12"/>
        <v>30</v>
      </c>
      <c r="J397" s="2" t="str">
        <f>TEXT([1]retail_sales_cleaned_dataset!B397,"mmmm")</f>
        <v>May</v>
      </c>
      <c r="K397" s="2">
        <f>MONTH([1]retail_sales_cleaned_dataset!B397)</f>
        <v>5</v>
      </c>
      <c r="L397" s="2">
        <f>YEAR([1]retail_sales_cleaned_dataset!B397)</f>
        <v>2025</v>
      </c>
      <c r="M397" s="2" t="str">
        <f t="shared" si="13"/>
        <v>26-35</v>
      </c>
    </row>
    <row r="398" spans="1:13" x14ac:dyDescent="0.25">
      <c r="A398" s="2">
        <v>397</v>
      </c>
      <c r="B398" s="1">
        <v>45799</v>
      </c>
      <c r="C398" t="s">
        <v>75</v>
      </c>
      <c r="D398" t="s">
        <v>9</v>
      </c>
      <c r="E398">
        <v>64</v>
      </c>
      <c r="F398" s="2" t="s">
        <v>10</v>
      </c>
      <c r="G398" s="2">
        <v>1</v>
      </c>
      <c r="H398" s="5">
        <v>25</v>
      </c>
      <c r="I398" s="5">
        <f t="shared" si="12"/>
        <v>25</v>
      </c>
      <c r="J398" s="2" t="str">
        <f>TEXT([1]retail_sales_cleaned_dataset!B398,"mmmm")</f>
        <v>May</v>
      </c>
      <c r="K398" s="2">
        <f>MONTH([1]retail_sales_cleaned_dataset!B398)</f>
        <v>5</v>
      </c>
      <c r="L398" s="2">
        <f>YEAR([1]retail_sales_cleaned_dataset!B398)</f>
        <v>2025</v>
      </c>
      <c r="M398" s="2" t="str">
        <f t="shared" si="13"/>
        <v>46+</v>
      </c>
    </row>
    <row r="399" spans="1:13" x14ac:dyDescent="0.25">
      <c r="A399" s="2">
        <v>398</v>
      </c>
      <c r="B399" s="1">
        <v>45799</v>
      </c>
      <c r="C399" t="s">
        <v>297</v>
      </c>
      <c r="D399" t="s">
        <v>12</v>
      </c>
      <c r="E399">
        <v>19</v>
      </c>
      <c r="F399" s="2" t="s">
        <v>13</v>
      </c>
      <c r="G399" s="2">
        <v>2</v>
      </c>
      <c r="H399" s="5">
        <v>300</v>
      </c>
      <c r="I399" s="5">
        <f t="shared" si="12"/>
        <v>600</v>
      </c>
      <c r="J399" s="2" t="str">
        <f>TEXT([1]retail_sales_cleaned_dataset!B399,"mmmm")</f>
        <v>May</v>
      </c>
      <c r="K399" s="2">
        <f>MONTH([1]retail_sales_cleaned_dataset!B399)</f>
        <v>5</v>
      </c>
      <c r="L399" s="2">
        <f>YEAR([1]retail_sales_cleaned_dataset!B399)</f>
        <v>2025</v>
      </c>
      <c r="M399" s="2" t="str">
        <f t="shared" si="13"/>
        <v>18-25</v>
      </c>
    </row>
    <row r="400" spans="1:13" x14ac:dyDescent="0.25">
      <c r="A400" s="2">
        <v>399</v>
      </c>
      <c r="B400" s="1">
        <v>45799</v>
      </c>
      <c r="C400" t="s">
        <v>195</v>
      </c>
      <c r="D400" t="s">
        <v>12</v>
      </c>
      <c r="E400">
        <v>20</v>
      </c>
      <c r="F400" s="2" t="s">
        <v>10</v>
      </c>
      <c r="G400" s="2">
        <v>2</v>
      </c>
      <c r="H400" s="5">
        <v>30</v>
      </c>
      <c r="I400" s="5">
        <f t="shared" si="12"/>
        <v>60</v>
      </c>
      <c r="J400" s="2" t="str">
        <f>TEXT([1]retail_sales_cleaned_dataset!B400,"mmmm")</f>
        <v>May</v>
      </c>
      <c r="K400" s="2">
        <f>MONTH([1]retail_sales_cleaned_dataset!B400)</f>
        <v>5</v>
      </c>
      <c r="L400" s="2">
        <f>YEAR([1]retail_sales_cleaned_dataset!B400)</f>
        <v>2025</v>
      </c>
      <c r="M400" s="2" t="str">
        <f t="shared" si="13"/>
        <v>18-25</v>
      </c>
    </row>
    <row r="401" spans="1:13" x14ac:dyDescent="0.25">
      <c r="A401" s="2">
        <v>400</v>
      </c>
      <c r="B401" s="1">
        <v>45800</v>
      </c>
      <c r="C401" t="s">
        <v>298</v>
      </c>
      <c r="D401" t="s">
        <v>12</v>
      </c>
      <c r="E401">
        <v>24</v>
      </c>
      <c r="F401" s="2" t="s">
        <v>13</v>
      </c>
      <c r="G401" s="2">
        <v>4</v>
      </c>
      <c r="H401" s="5">
        <v>50</v>
      </c>
      <c r="I401" s="5">
        <f t="shared" si="12"/>
        <v>200</v>
      </c>
      <c r="J401" s="2" t="str">
        <f>TEXT([1]retail_sales_cleaned_dataset!B401,"mmmm")</f>
        <v>May</v>
      </c>
      <c r="K401" s="2">
        <f>MONTH([1]retail_sales_cleaned_dataset!B401)</f>
        <v>5</v>
      </c>
      <c r="L401" s="2">
        <f>YEAR([1]retail_sales_cleaned_dataset!B401)</f>
        <v>2025</v>
      </c>
      <c r="M401" s="2" t="str">
        <f t="shared" si="13"/>
        <v>18-25</v>
      </c>
    </row>
    <row r="402" spans="1:13" x14ac:dyDescent="0.25">
      <c r="A402" s="2">
        <v>401</v>
      </c>
      <c r="B402" s="1">
        <v>45800</v>
      </c>
      <c r="C402" t="s">
        <v>291</v>
      </c>
      <c r="D402" t="s">
        <v>12</v>
      </c>
      <c r="E402">
        <v>25</v>
      </c>
      <c r="F402" s="2" t="s">
        <v>13</v>
      </c>
      <c r="G402" s="2">
        <v>1</v>
      </c>
      <c r="H402" s="5">
        <v>300</v>
      </c>
      <c r="I402" s="5">
        <f t="shared" si="12"/>
        <v>300</v>
      </c>
      <c r="J402" s="2" t="str">
        <f>TEXT([1]retail_sales_cleaned_dataset!B402,"mmmm")</f>
        <v>May</v>
      </c>
      <c r="K402" s="2">
        <f>MONTH([1]retail_sales_cleaned_dataset!B402)</f>
        <v>5</v>
      </c>
      <c r="L402" s="2">
        <f>YEAR([1]retail_sales_cleaned_dataset!B402)</f>
        <v>2025</v>
      </c>
      <c r="M402" s="2" t="str">
        <f t="shared" si="13"/>
        <v>18-25</v>
      </c>
    </row>
    <row r="403" spans="1:13" x14ac:dyDescent="0.25">
      <c r="A403" s="2">
        <v>402</v>
      </c>
      <c r="B403" s="1">
        <v>45800</v>
      </c>
      <c r="C403" t="s">
        <v>299</v>
      </c>
      <c r="D403" t="s">
        <v>12</v>
      </c>
      <c r="E403">
        <v>59</v>
      </c>
      <c r="F403" s="2" t="s">
        <v>13</v>
      </c>
      <c r="G403" s="2">
        <v>2</v>
      </c>
      <c r="H403" s="5">
        <v>300</v>
      </c>
      <c r="I403" s="5">
        <f t="shared" si="12"/>
        <v>600</v>
      </c>
      <c r="J403" s="2" t="str">
        <f>TEXT([1]retail_sales_cleaned_dataset!B403,"mmmm")</f>
        <v>May</v>
      </c>
      <c r="K403" s="2">
        <f>MONTH([1]retail_sales_cleaned_dataset!B403)</f>
        <v>5</v>
      </c>
      <c r="L403" s="2">
        <f>YEAR([1]retail_sales_cleaned_dataset!B403)</f>
        <v>2025</v>
      </c>
      <c r="M403" s="2" t="str">
        <f t="shared" si="13"/>
        <v>46+</v>
      </c>
    </row>
    <row r="404" spans="1:13" x14ac:dyDescent="0.25">
      <c r="A404" s="2">
        <v>403</v>
      </c>
      <c r="B404" s="1">
        <v>45800</v>
      </c>
      <c r="C404" t="s">
        <v>300</v>
      </c>
      <c r="D404" t="s">
        <v>12</v>
      </c>
      <c r="E404">
        <v>64</v>
      </c>
      <c r="F404" s="2" t="s">
        <v>13</v>
      </c>
      <c r="G404" s="2">
        <v>2</v>
      </c>
      <c r="H404" s="5">
        <v>300</v>
      </c>
      <c r="I404" s="5">
        <f t="shared" si="12"/>
        <v>600</v>
      </c>
      <c r="J404" s="2" t="str">
        <f>TEXT([1]retail_sales_cleaned_dataset!B404,"mmmm")</f>
        <v>May</v>
      </c>
      <c r="K404" s="2">
        <f>MONTH([1]retail_sales_cleaned_dataset!B404)</f>
        <v>5</v>
      </c>
      <c r="L404" s="2">
        <f>YEAR([1]retail_sales_cleaned_dataset!B404)</f>
        <v>2025</v>
      </c>
      <c r="M404" s="2" t="str">
        <f t="shared" si="13"/>
        <v>46+</v>
      </c>
    </row>
    <row r="405" spans="1:13" x14ac:dyDescent="0.25">
      <c r="A405" s="2">
        <v>404</v>
      </c>
      <c r="B405" s="1">
        <v>45800</v>
      </c>
      <c r="C405" t="s">
        <v>14</v>
      </c>
      <c r="D405" t="s">
        <v>9</v>
      </c>
      <c r="E405">
        <v>50</v>
      </c>
      <c r="F405" s="2" t="s">
        <v>15</v>
      </c>
      <c r="G405" s="2">
        <v>2</v>
      </c>
      <c r="H405" s="5">
        <v>500</v>
      </c>
      <c r="I405" s="5">
        <f t="shared" si="12"/>
        <v>1000</v>
      </c>
      <c r="J405" s="2" t="str">
        <f>TEXT([1]retail_sales_cleaned_dataset!B405,"mmmm")</f>
        <v>May</v>
      </c>
      <c r="K405" s="2">
        <f>MONTH([1]retail_sales_cleaned_dataset!B405)</f>
        <v>5</v>
      </c>
      <c r="L405" s="2">
        <f>YEAR([1]retail_sales_cleaned_dataset!B405)</f>
        <v>2025</v>
      </c>
      <c r="M405" s="2" t="str">
        <f t="shared" si="13"/>
        <v>46+</v>
      </c>
    </row>
    <row r="406" spans="1:13" x14ac:dyDescent="0.25">
      <c r="A406" s="2">
        <v>405</v>
      </c>
      <c r="B406" s="1">
        <v>45800</v>
      </c>
      <c r="C406" t="s">
        <v>301</v>
      </c>
      <c r="D406" t="s">
        <v>12</v>
      </c>
      <c r="E406">
        <v>46</v>
      </c>
      <c r="F406" s="2" t="s">
        <v>13</v>
      </c>
      <c r="G406" s="2">
        <v>4</v>
      </c>
      <c r="H406" s="5">
        <v>300</v>
      </c>
      <c r="I406" s="5">
        <f t="shared" si="12"/>
        <v>1200</v>
      </c>
      <c r="J406" s="2" t="str">
        <f>TEXT([1]retail_sales_cleaned_dataset!B406,"mmmm")</f>
        <v>May</v>
      </c>
      <c r="K406" s="2">
        <f>MONTH([1]retail_sales_cleaned_dataset!B406)</f>
        <v>5</v>
      </c>
      <c r="L406" s="2">
        <f>YEAR([1]retail_sales_cleaned_dataset!B406)</f>
        <v>2025</v>
      </c>
      <c r="M406" s="2" t="str">
        <f t="shared" si="13"/>
        <v>46+</v>
      </c>
    </row>
    <row r="407" spans="1:13" x14ac:dyDescent="0.25">
      <c r="A407" s="2">
        <v>406</v>
      </c>
      <c r="B407" s="1">
        <v>45800</v>
      </c>
      <c r="C407" t="s">
        <v>88</v>
      </c>
      <c r="D407" t="s">
        <v>9</v>
      </c>
      <c r="E407">
        <v>44</v>
      </c>
      <c r="F407" s="2" t="s">
        <v>10</v>
      </c>
      <c r="G407" s="2">
        <v>4</v>
      </c>
      <c r="H407" s="5">
        <v>25</v>
      </c>
      <c r="I407" s="5">
        <f t="shared" si="12"/>
        <v>100</v>
      </c>
      <c r="J407" s="2" t="str">
        <f>TEXT([1]retail_sales_cleaned_dataset!B407,"mmmm")</f>
        <v>May</v>
      </c>
      <c r="K407" s="2">
        <f>MONTH([1]retail_sales_cleaned_dataset!B407)</f>
        <v>5</v>
      </c>
      <c r="L407" s="2">
        <f>YEAR([1]retail_sales_cleaned_dataset!B407)</f>
        <v>2025</v>
      </c>
      <c r="M407" s="2" t="str">
        <f t="shared" si="13"/>
        <v>36-45</v>
      </c>
    </row>
    <row r="408" spans="1:13" x14ac:dyDescent="0.25">
      <c r="A408" s="2">
        <v>407</v>
      </c>
      <c r="B408" s="1">
        <v>45800</v>
      </c>
      <c r="C408" t="s">
        <v>302</v>
      </c>
      <c r="D408" t="s">
        <v>9</v>
      </c>
      <c r="E408">
        <v>19</v>
      </c>
      <c r="F408" s="2" t="s">
        <v>15</v>
      </c>
      <c r="G408" s="2">
        <v>3</v>
      </c>
      <c r="H408" s="5">
        <v>300</v>
      </c>
      <c r="I408" s="5">
        <f t="shared" si="12"/>
        <v>900</v>
      </c>
      <c r="J408" s="2" t="str">
        <f>TEXT([1]retail_sales_cleaned_dataset!B408,"mmmm")</f>
        <v>May</v>
      </c>
      <c r="K408" s="2">
        <f>MONTH([1]retail_sales_cleaned_dataset!B408)</f>
        <v>5</v>
      </c>
      <c r="L408" s="2">
        <f>YEAR([1]retail_sales_cleaned_dataset!B408)</f>
        <v>2025</v>
      </c>
      <c r="M408" s="2" t="str">
        <f t="shared" si="13"/>
        <v>18-25</v>
      </c>
    </row>
    <row r="409" spans="1:13" x14ac:dyDescent="0.25">
      <c r="A409" s="2">
        <v>408</v>
      </c>
      <c r="B409" s="1">
        <v>45800</v>
      </c>
      <c r="C409" t="s">
        <v>151</v>
      </c>
      <c r="D409" t="s">
        <v>12</v>
      </c>
      <c r="E409">
        <v>22</v>
      </c>
      <c r="F409" s="2" t="s">
        <v>10</v>
      </c>
      <c r="G409" s="2">
        <v>1</v>
      </c>
      <c r="H409" s="5">
        <v>500</v>
      </c>
      <c r="I409" s="5">
        <f t="shared" si="12"/>
        <v>500</v>
      </c>
      <c r="J409" s="2" t="str">
        <f>TEXT([1]retail_sales_cleaned_dataset!B409,"mmmm")</f>
        <v>May</v>
      </c>
      <c r="K409" s="2">
        <f>MONTH([1]retail_sales_cleaned_dataset!B409)</f>
        <v>5</v>
      </c>
      <c r="L409" s="2">
        <f>YEAR([1]retail_sales_cleaned_dataset!B409)</f>
        <v>2025</v>
      </c>
      <c r="M409" s="2" t="str">
        <f t="shared" si="13"/>
        <v>18-25</v>
      </c>
    </row>
    <row r="410" spans="1:13" x14ac:dyDescent="0.25">
      <c r="A410" s="2">
        <v>409</v>
      </c>
      <c r="B410" s="1">
        <v>45801</v>
      </c>
      <c r="C410" t="s">
        <v>303</v>
      </c>
      <c r="D410" t="s">
        <v>12</v>
      </c>
      <c r="E410">
        <v>55</v>
      </c>
      <c r="F410" s="2" t="s">
        <v>15</v>
      </c>
      <c r="G410" s="2">
        <v>3</v>
      </c>
      <c r="H410" s="5">
        <v>300</v>
      </c>
      <c r="I410" s="5">
        <f t="shared" si="12"/>
        <v>900</v>
      </c>
      <c r="J410" s="2" t="str">
        <f>TEXT([1]retail_sales_cleaned_dataset!B410,"mmmm")</f>
        <v>May</v>
      </c>
      <c r="K410" s="2">
        <f>MONTH([1]retail_sales_cleaned_dataset!B410)</f>
        <v>5</v>
      </c>
      <c r="L410" s="2">
        <f>YEAR([1]retail_sales_cleaned_dataset!B410)</f>
        <v>2025</v>
      </c>
      <c r="M410" s="2" t="str">
        <f t="shared" si="13"/>
        <v>46+</v>
      </c>
    </row>
    <row r="411" spans="1:13" x14ac:dyDescent="0.25">
      <c r="A411" s="2">
        <v>410</v>
      </c>
      <c r="B411" s="1">
        <v>45802</v>
      </c>
      <c r="C411" t="s">
        <v>270</v>
      </c>
      <c r="D411" t="s">
        <v>12</v>
      </c>
      <c r="E411">
        <v>30</v>
      </c>
      <c r="F411" s="2" t="s">
        <v>13</v>
      </c>
      <c r="G411" s="2">
        <v>2</v>
      </c>
      <c r="H411" s="5">
        <v>50</v>
      </c>
      <c r="I411" s="5">
        <f t="shared" si="12"/>
        <v>100</v>
      </c>
      <c r="J411" s="2" t="str">
        <f>TEXT([1]retail_sales_cleaned_dataset!B411,"mmmm")</f>
        <v>May</v>
      </c>
      <c r="K411" s="2">
        <f>MONTH([1]retail_sales_cleaned_dataset!B411)</f>
        <v>5</v>
      </c>
      <c r="L411" s="2">
        <f>YEAR([1]retail_sales_cleaned_dataset!B411)</f>
        <v>2025</v>
      </c>
      <c r="M411" s="2" t="str">
        <f t="shared" si="13"/>
        <v>26-35</v>
      </c>
    </row>
    <row r="412" spans="1:13" x14ac:dyDescent="0.25">
      <c r="A412" s="2">
        <v>411</v>
      </c>
      <c r="B412" s="1">
        <v>45802</v>
      </c>
      <c r="C412" t="s">
        <v>304</v>
      </c>
      <c r="D412" t="s">
        <v>12</v>
      </c>
      <c r="E412">
        <v>64</v>
      </c>
      <c r="F412" s="2" t="s">
        <v>15</v>
      </c>
      <c r="G412" s="2">
        <v>4</v>
      </c>
      <c r="H412" s="5">
        <v>50</v>
      </c>
      <c r="I412" s="5">
        <f t="shared" si="12"/>
        <v>200</v>
      </c>
      <c r="J412" s="2" t="str">
        <f>TEXT([1]retail_sales_cleaned_dataset!B412,"mmmm")</f>
        <v>May</v>
      </c>
      <c r="K412" s="2">
        <f>MONTH([1]retail_sales_cleaned_dataset!B412)</f>
        <v>5</v>
      </c>
      <c r="L412" s="2">
        <f>YEAR([1]retail_sales_cleaned_dataset!B412)</f>
        <v>2025</v>
      </c>
      <c r="M412" s="2" t="str">
        <f t="shared" si="13"/>
        <v>46+</v>
      </c>
    </row>
    <row r="413" spans="1:13" x14ac:dyDescent="0.25">
      <c r="A413" s="2">
        <v>412</v>
      </c>
      <c r="B413" s="1">
        <v>45802</v>
      </c>
      <c r="C413" t="s">
        <v>305</v>
      </c>
      <c r="D413" t="s">
        <v>12</v>
      </c>
      <c r="E413">
        <v>22</v>
      </c>
      <c r="F413" s="2" t="s">
        <v>15</v>
      </c>
      <c r="G413" s="2">
        <v>4</v>
      </c>
      <c r="H413" s="5">
        <v>500</v>
      </c>
      <c r="I413" s="5">
        <f t="shared" si="12"/>
        <v>2000</v>
      </c>
      <c r="J413" s="2" t="str">
        <f>TEXT([1]retail_sales_cleaned_dataset!B413,"mmmm")</f>
        <v>May</v>
      </c>
      <c r="K413" s="2">
        <f>MONTH([1]retail_sales_cleaned_dataset!B413)</f>
        <v>5</v>
      </c>
      <c r="L413" s="2">
        <f>YEAR([1]retail_sales_cleaned_dataset!B413)</f>
        <v>2025</v>
      </c>
      <c r="M413" s="2" t="str">
        <f t="shared" si="13"/>
        <v>18-25</v>
      </c>
    </row>
    <row r="414" spans="1:13" x14ac:dyDescent="0.25">
      <c r="A414" s="2">
        <v>413</v>
      </c>
      <c r="B414" s="1">
        <v>45803</v>
      </c>
      <c r="C414" t="s">
        <v>306</v>
      </c>
      <c r="D414" t="s">
        <v>12</v>
      </c>
      <c r="E414">
        <v>64</v>
      </c>
      <c r="F414" s="2" t="s">
        <v>10</v>
      </c>
      <c r="G414" s="2">
        <v>3</v>
      </c>
      <c r="H414" s="5">
        <v>25</v>
      </c>
      <c r="I414" s="5">
        <f t="shared" si="12"/>
        <v>75</v>
      </c>
      <c r="J414" s="2" t="str">
        <f>TEXT([1]retail_sales_cleaned_dataset!B414,"mmmm")</f>
        <v>May</v>
      </c>
      <c r="K414" s="2">
        <f>MONTH([1]retail_sales_cleaned_dataset!B414)</f>
        <v>5</v>
      </c>
      <c r="L414" s="2">
        <f>YEAR([1]retail_sales_cleaned_dataset!B414)</f>
        <v>2025</v>
      </c>
      <c r="M414" s="2" t="str">
        <f t="shared" si="13"/>
        <v>46+</v>
      </c>
    </row>
    <row r="415" spans="1:13" x14ac:dyDescent="0.25">
      <c r="A415" s="2">
        <v>414</v>
      </c>
      <c r="B415" s="1">
        <v>45803</v>
      </c>
      <c r="C415" t="s">
        <v>307</v>
      </c>
      <c r="D415" t="s">
        <v>12</v>
      </c>
      <c r="E415">
        <v>44</v>
      </c>
      <c r="F415" s="2" t="s">
        <v>10</v>
      </c>
      <c r="G415" s="2">
        <v>4</v>
      </c>
      <c r="H415" s="5">
        <v>25</v>
      </c>
      <c r="I415" s="5">
        <f t="shared" si="12"/>
        <v>100</v>
      </c>
      <c r="J415" s="2" t="str">
        <f>TEXT([1]retail_sales_cleaned_dataset!B415,"mmmm")</f>
        <v>May</v>
      </c>
      <c r="K415" s="2">
        <f>MONTH([1]retail_sales_cleaned_dataset!B415)</f>
        <v>5</v>
      </c>
      <c r="L415" s="2">
        <f>YEAR([1]retail_sales_cleaned_dataset!B415)</f>
        <v>2025</v>
      </c>
      <c r="M415" s="2" t="str">
        <f t="shared" si="13"/>
        <v>36-45</v>
      </c>
    </row>
    <row r="416" spans="1:13" x14ac:dyDescent="0.25">
      <c r="A416" s="2">
        <v>415</v>
      </c>
      <c r="B416" s="1">
        <v>45803</v>
      </c>
      <c r="C416" t="s">
        <v>308</v>
      </c>
      <c r="D416" t="s">
        <v>9</v>
      </c>
      <c r="E416">
        <v>48</v>
      </c>
      <c r="F416" s="2" t="s">
        <v>13</v>
      </c>
      <c r="G416" s="2">
        <v>2</v>
      </c>
      <c r="H416" s="5">
        <v>30</v>
      </c>
      <c r="I416" s="5">
        <f t="shared" si="12"/>
        <v>60</v>
      </c>
      <c r="J416" s="2" t="str">
        <f>TEXT([1]retail_sales_cleaned_dataset!B416,"mmmm")</f>
        <v>May</v>
      </c>
      <c r="K416" s="2">
        <f>MONTH([1]retail_sales_cleaned_dataset!B416)</f>
        <v>5</v>
      </c>
      <c r="L416" s="2">
        <f>YEAR([1]retail_sales_cleaned_dataset!B416)</f>
        <v>2025</v>
      </c>
      <c r="M416" s="2" t="str">
        <f t="shared" si="13"/>
        <v>46+</v>
      </c>
    </row>
    <row r="417" spans="1:13" x14ac:dyDescent="0.25">
      <c r="A417" s="2">
        <v>416</v>
      </c>
      <c r="B417" s="1">
        <v>45804</v>
      </c>
      <c r="C417" t="s">
        <v>309</v>
      </c>
      <c r="D417" t="s">
        <v>9</v>
      </c>
      <c r="E417">
        <v>22</v>
      </c>
      <c r="F417" s="2" t="s">
        <v>15</v>
      </c>
      <c r="G417" s="2">
        <v>4</v>
      </c>
      <c r="H417" s="5">
        <v>500</v>
      </c>
      <c r="I417" s="5">
        <f t="shared" si="12"/>
        <v>2000</v>
      </c>
      <c r="J417" s="2" t="str">
        <f>TEXT([1]retail_sales_cleaned_dataset!B417,"mmmm")</f>
        <v>May</v>
      </c>
      <c r="K417" s="2">
        <f>MONTH([1]retail_sales_cleaned_dataset!B417)</f>
        <v>5</v>
      </c>
      <c r="L417" s="2">
        <f>YEAR([1]retail_sales_cleaned_dataset!B417)</f>
        <v>2025</v>
      </c>
      <c r="M417" s="2" t="str">
        <f t="shared" si="13"/>
        <v>18-25</v>
      </c>
    </row>
    <row r="418" spans="1:13" x14ac:dyDescent="0.25">
      <c r="A418" s="2">
        <v>417</v>
      </c>
      <c r="B418" s="1">
        <v>45804</v>
      </c>
      <c r="C418" t="s">
        <v>310</v>
      </c>
      <c r="D418" t="s">
        <v>9</v>
      </c>
      <c r="E418">
        <v>61</v>
      </c>
      <c r="F418" s="2" t="s">
        <v>15</v>
      </c>
      <c r="G418" s="2">
        <v>3</v>
      </c>
      <c r="H418" s="5">
        <v>300</v>
      </c>
      <c r="I418" s="5">
        <f t="shared" si="12"/>
        <v>900</v>
      </c>
      <c r="J418" s="2" t="str">
        <f>TEXT([1]retail_sales_cleaned_dataset!B418,"mmmm")</f>
        <v>May</v>
      </c>
      <c r="K418" s="2">
        <f>MONTH([1]retail_sales_cleaned_dataset!B418)</f>
        <v>5</v>
      </c>
      <c r="L418" s="2">
        <f>YEAR([1]retail_sales_cleaned_dataset!B418)</f>
        <v>2025</v>
      </c>
      <c r="M418" s="2" t="str">
        <f t="shared" si="13"/>
        <v>46+</v>
      </c>
    </row>
    <row r="419" spans="1:13" x14ac:dyDescent="0.25">
      <c r="A419" s="2">
        <v>418</v>
      </c>
      <c r="B419" s="1">
        <v>45804</v>
      </c>
      <c r="C419" t="s">
        <v>311</v>
      </c>
      <c r="D419" t="s">
        <v>9</v>
      </c>
      <c r="E419">
        <v>31</v>
      </c>
      <c r="F419" s="2" t="s">
        <v>15</v>
      </c>
      <c r="G419" s="2">
        <v>2</v>
      </c>
      <c r="H419" s="5">
        <v>500</v>
      </c>
      <c r="I419" s="5">
        <f t="shared" si="12"/>
        <v>1000</v>
      </c>
      <c r="J419" s="2" t="str">
        <f>TEXT([1]retail_sales_cleaned_dataset!B419,"mmmm")</f>
        <v>May</v>
      </c>
      <c r="K419" s="2">
        <f>MONTH([1]retail_sales_cleaned_dataset!B419)</f>
        <v>5</v>
      </c>
      <c r="L419" s="2">
        <f>YEAR([1]retail_sales_cleaned_dataset!B419)</f>
        <v>2025</v>
      </c>
      <c r="M419" s="2" t="str">
        <f t="shared" si="13"/>
        <v>26-35</v>
      </c>
    </row>
    <row r="420" spans="1:13" x14ac:dyDescent="0.25">
      <c r="A420" s="2">
        <v>419</v>
      </c>
      <c r="B420" s="1">
        <v>45805</v>
      </c>
      <c r="C420" t="s">
        <v>312</v>
      </c>
      <c r="D420" t="s">
        <v>12</v>
      </c>
      <c r="E420">
        <v>28</v>
      </c>
      <c r="F420" s="2" t="s">
        <v>13</v>
      </c>
      <c r="G420" s="2">
        <v>3</v>
      </c>
      <c r="H420" s="5">
        <v>30</v>
      </c>
      <c r="I420" s="5">
        <f t="shared" si="12"/>
        <v>90</v>
      </c>
      <c r="J420" s="2" t="str">
        <f>TEXT([1]retail_sales_cleaned_dataset!B420,"mmmm")</f>
        <v>May</v>
      </c>
      <c r="K420" s="2">
        <f>MONTH([1]retail_sales_cleaned_dataset!B420)</f>
        <v>5</v>
      </c>
      <c r="L420" s="2">
        <f>YEAR([1]retail_sales_cleaned_dataset!B420)</f>
        <v>2025</v>
      </c>
      <c r="M420" s="2" t="str">
        <f t="shared" si="13"/>
        <v>26-35</v>
      </c>
    </row>
    <row r="421" spans="1:13" x14ac:dyDescent="0.25">
      <c r="A421" s="2">
        <v>420</v>
      </c>
      <c r="B421" s="1">
        <v>45806</v>
      </c>
      <c r="C421" t="s">
        <v>313</v>
      </c>
      <c r="D421" t="s">
        <v>12</v>
      </c>
      <c r="E421">
        <v>26</v>
      </c>
      <c r="F421" s="2" t="s">
        <v>13</v>
      </c>
      <c r="G421" s="2">
        <v>4</v>
      </c>
      <c r="H421" s="5">
        <v>500</v>
      </c>
      <c r="I421" s="5">
        <f t="shared" si="12"/>
        <v>2000</v>
      </c>
      <c r="J421" s="2" t="str">
        <f>TEXT([1]retail_sales_cleaned_dataset!B421,"mmmm")</f>
        <v>May</v>
      </c>
      <c r="K421" s="2">
        <f>MONTH([1]retail_sales_cleaned_dataset!B421)</f>
        <v>5</v>
      </c>
      <c r="L421" s="2">
        <f>YEAR([1]retail_sales_cleaned_dataset!B421)</f>
        <v>2025</v>
      </c>
      <c r="M421" s="2" t="str">
        <f t="shared" si="13"/>
        <v>26-35</v>
      </c>
    </row>
    <row r="422" spans="1:13" x14ac:dyDescent="0.25">
      <c r="A422" s="2">
        <v>421</v>
      </c>
      <c r="B422" s="1">
        <v>45807</v>
      </c>
      <c r="C422" t="s">
        <v>314</v>
      </c>
      <c r="D422" t="s">
        <v>9</v>
      </c>
      <c r="E422">
        <v>51</v>
      </c>
      <c r="F422" s="2" t="s">
        <v>13</v>
      </c>
      <c r="G422" s="2">
        <v>3</v>
      </c>
      <c r="H422" s="5">
        <v>500</v>
      </c>
      <c r="I422" s="5">
        <f t="shared" si="12"/>
        <v>1500</v>
      </c>
      <c r="J422" s="2" t="str">
        <f>TEXT([1]retail_sales_cleaned_dataset!B422,"mmmm")</f>
        <v>May</v>
      </c>
      <c r="K422" s="2">
        <f>MONTH([1]retail_sales_cleaned_dataset!B422)</f>
        <v>5</v>
      </c>
      <c r="L422" s="2">
        <f>YEAR([1]retail_sales_cleaned_dataset!B422)</f>
        <v>2025</v>
      </c>
      <c r="M422" s="2" t="str">
        <f t="shared" si="13"/>
        <v>46+</v>
      </c>
    </row>
    <row r="423" spans="1:13" x14ac:dyDescent="0.25">
      <c r="A423" s="2">
        <v>422</v>
      </c>
      <c r="B423" s="1">
        <v>45807</v>
      </c>
      <c r="C423" t="s">
        <v>315</v>
      </c>
      <c r="D423" t="s">
        <v>12</v>
      </c>
      <c r="E423">
        <v>29</v>
      </c>
      <c r="F423" s="2" t="s">
        <v>13</v>
      </c>
      <c r="G423" s="2">
        <v>3</v>
      </c>
      <c r="H423" s="5">
        <v>30</v>
      </c>
      <c r="I423" s="5">
        <f t="shared" si="12"/>
        <v>90</v>
      </c>
      <c r="J423" s="2" t="str">
        <f>TEXT([1]retail_sales_cleaned_dataset!B423,"mmmm")</f>
        <v>May</v>
      </c>
      <c r="K423" s="2">
        <f>MONTH([1]retail_sales_cleaned_dataset!B423)</f>
        <v>5</v>
      </c>
      <c r="L423" s="2">
        <f>YEAR([1]retail_sales_cleaned_dataset!B423)</f>
        <v>2025</v>
      </c>
      <c r="M423" s="2" t="str">
        <f t="shared" si="13"/>
        <v>26-35</v>
      </c>
    </row>
    <row r="424" spans="1:13" x14ac:dyDescent="0.25">
      <c r="A424" s="2">
        <v>423</v>
      </c>
      <c r="B424" s="1">
        <v>45808</v>
      </c>
      <c r="C424" t="s">
        <v>316</v>
      </c>
      <c r="D424" t="s">
        <v>12</v>
      </c>
      <c r="E424">
        <v>52</v>
      </c>
      <c r="F424" s="2" t="s">
        <v>13</v>
      </c>
      <c r="G424" s="2">
        <v>1</v>
      </c>
      <c r="H424" s="5">
        <v>25</v>
      </c>
      <c r="I424" s="5">
        <f t="shared" si="12"/>
        <v>25</v>
      </c>
      <c r="J424" s="2" t="str">
        <f>TEXT([1]retail_sales_cleaned_dataset!B424,"mmmm")</f>
        <v>May</v>
      </c>
      <c r="K424" s="2">
        <f>MONTH([1]retail_sales_cleaned_dataset!B424)</f>
        <v>5</v>
      </c>
      <c r="L424" s="2">
        <f>YEAR([1]retail_sales_cleaned_dataset!B424)</f>
        <v>2025</v>
      </c>
      <c r="M424" s="2" t="str">
        <f t="shared" si="13"/>
        <v>46+</v>
      </c>
    </row>
    <row r="425" spans="1:13" x14ac:dyDescent="0.25">
      <c r="A425" s="2">
        <v>424</v>
      </c>
      <c r="B425" s="1">
        <v>45808</v>
      </c>
      <c r="C425" t="s">
        <v>194</v>
      </c>
      <c r="D425" t="s">
        <v>12</v>
      </c>
      <c r="E425">
        <v>52</v>
      </c>
      <c r="F425" s="2" t="s">
        <v>10</v>
      </c>
      <c r="G425" s="2">
        <v>4</v>
      </c>
      <c r="H425" s="5">
        <v>300</v>
      </c>
      <c r="I425" s="5">
        <f t="shared" si="12"/>
        <v>1200</v>
      </c>
      <c r="J425" s="2" t="str">
        <f>TEXT([1]retail_sales_cleaned_dataset!B425,"mmmm")</f>
        <v>May</v>
      </c>
      <c r="K425" s="2">
        <f>MONTH([1]retail_sales_cleaned_dataset!B425)</f>
        <v>5</v>
      </c>
      <c r="L425" s="2">
        <f>YEAR([1]retail_sales_cleaned_dataset!B425)</f>
        <v>2025</v>
      </c>
      <c r="M425" s="2" t="str">
        <f t="shared" si="13"/>
        <v>46+</v>
      </c>
    </row>
    <row r="426" spans="1:13" x14ac:dyDescent="0.25">
      <c r="A426" s="2">
        <v>425</v>
      </c>
      <c r="B426" s="1">
        <v>45808</v>
      </c>
      <c r="C426" t="s">
        <v>317</v>
      </c>
      <c r="D426" t="s">
        <v>12</v>
      </c>
      <c r="E426">
        <v>18</v>
      </c>
      <c r="F426" s="2" t="s">
        <v>15</v>
      </c>
      <c r="G426" s="2">
        <v>4</v>
      </c>
      <c r="H426" s="5">
        <v>30</v>
      </c>
      <c r="I426" s="5">
        <f t="shared" si="12"/>
        <v>120</v>
      </c>
      <c r="J426" s="2" t="str">
        <f>TEXT([1]retail_sales_cleaned_dataset!B426,"mmmm")</f>
        <v>May</v>
      </c>
      <c r="K426" s="2">
        <f>MONTH([1]retail_sales_cleaned_dataset!B426)</f>
        <v>5</v>
      </c>
      <c r="L426" s="2">
        <f>YEAR([1]retail_sales_cleaned_dataset!B426)</f>
        <v>2025</v>
      </c>
      <c r="M426" s="2" t="str">
        <f t="shared" si="13"/>
        <v>18-25</v>
      </c>
    </row>
    <row r="427" spans="1:13" x14ac:dyDescent="0.25">
      <c r="A427" s="2">
        <v>426</v>
      </c>
      <c r="B427" s="1">
        <v>45809</v>
      </c>
      <c r="C427" t="s">
        <v>297</v>
      </c>
      <c r="D427" t="s">
        <v>9</v>
      </c>
      <c r="E427">
        <v>57</v>
      </c>
      <c r="F427" s="2" t="s">
        <v>15</v>
      </c>
      <c r="G427" s="2">
        <v>3</v>
      </c>
      <c r="H427" s="5">
        <v>50</v>
      </c>
      <c r="I427" s="5">
        <f t="shared" si="12"/>
        <v>150</v>
      </c>
      <c r="J427" s="2" t="str">
        <f>TEXT([1]retail_sales_cleaned_dataset!B427,"mmmm")</f>
        <v>June</v>
      </c>
      <c r="K427" s="2">
        <f>MONTH([1]retail_sales_cleaned_dataset!B427)</f>
        <v>6</v>
      </c>
      <c r="L427" s="2">
        <f>YEAR([1]retail_sales_cleaned_dataset!B427)</f>
        <v>2025</v>
      </c>
      <c r="M427" s="2" t="str">
        <f t="shared" si="13"/>
        <v>46+</v>
      </c>
    </row>
    <row r="428" spans="1:13" x14ac:dyDescent="0.25">
      <c r="A428" s="2">
        <v>427</v>
      </c>
      <c r="B428" s="1">
        <v>45809</v>
      </c>
      <c r="C428" t="s">
        <v>318</v>
      </c>
      <c r="D428" t="s">
        <v>9</v>
      </c>
      <c r="E428">
        <v>39</v>
      </c>
      <c r="F428" s="2" t="s">
        <v>15</v>
      </c>
      <c r="G428" s="2">
        <v>1</v>
      </c>
      <c r="H428" s="5">
        <v>25</v>
      </c>
      <c r="I428" s="5">
        <f t="shared" si="12"/>
        <v>25</v>
      </c>
      <c r="J428" s="2" t="str">
        <f>TEXT([1]retail_sales_cleaned_dataset!B428,"mmmm")</f>
        <v>June</v>
      </c>
      <c r="K428" s="2">
        <f>MONTH([1]retail_sales_cleaned_dataset!B428)</f>
        <v>6</v>
      </c>
      <c r="L428" s="2">
        <f>YEAR([1]retail_sales_cleaned_dataset!B428)</f>
        <v>2025</v>
      </c>
      <c r="M428" s="2" t="str">
        <f t="shared" si="13"/>
        <v>36-45</v>
      </c>
    </row>
    <row r="429" spans="1:13" x14ac:dyDescent="0.25">
      <c r="A429" s="2">
        <v>428</v>
      </c>
      <c r="B429" s="1">
        <v>45809</v>
      </c>
      <c r="C429" t="s">
        <v>319</v>
      </c>
      <c r="D429" t="s">
        <v>12</v>
      </c>
      <c r="E429">
        <v>46</v>
      </c>
      <c r="F429" s="2" t="s">
        <v>15</v>
      </c>
      <c r="G429" s="2">
        <v>4</v>
      </c>
      <c r="H429" s="5">
        <v>50</v>
      </c>
      <c r="I429" s="5">
        <f t="shared" si="12"/>
        <v>200</v>
      </c>
      <c r="J429" s="2" t="str">
        <f>TEXT([1]retail_sales_cleaned_dataset!B429,"mmmm")</f>
        <v>June</v>
      </c>
      <c r="K429" s="2">
        <f>MONTH([1]retail_sales_cleaned_dataset!B429)</f>
        <v>6</v>
      </c>
      <c r="L429" s="2">
        <f>YEAR([1]retail_sales_cleaned_dataset!B429)</f>
        <v>2025</v>
      </c>
      <c r="M429" s="2" t="str">
        <f t="shared" si="13"/>
        <v>46+</v>
      </c>
    </row>
    <row r="430" spans="1:13" x14ac:dyDescent="0.25">
      <c r="A430" s="2">
        <v>429</v>
      </c>
      <c r="B430" s="1">
        <v>45810</v>
      </c>
      <c r="C430" t="s">
        <v>198</v>
      </c>
      <c r="D430" t="s">
        <v>12</v>
      </c>
      <c r="E430">
        <v>25</v>
      </c>
      <c r="F430" s="2" t="s">
        <v>15</v>
      </c>
      <c r="G430" s="2">
        <v>2</v>
      </c>
      <c r="H430" s="5">
        <v>25</v>
      </c>
      <c r="I430" s="5">
        <f t="shared" si="12"/>
        <v>50</v>
      </c>
      <c r="J430" s="2" t="str">
        <f>TEXT([1]retail_sales_cleaned_dataset!B430,"mmmm")</f>
        <v>June</v>
      </c>
      <c r="K430" s="2">
        <f>MONTH([1]retail_sales_cleaned_dataset!B430)</f>
        <v>6</v>
      </c>
      <c r="L430" s="2">
        <f>YEAR([1]retail_sales_cleaned_dataset!B430)</f>
        <v>2025</v>
      </c>
      <c r="M430" s="2" t="str">
        <f t="shared" si="13"/>
        <v>18-25</v>
      </c>
    </row>
    <row r="431" spans="1:13" x14ac:dyDescent="0.25">
      <c r="A431" s="2">
        <v>430</v>
      </c>
      <c r="B431" s="1">
        <v>45810</v>
      </c>
      <c r="C431" t="s">
        <v>320</v>
      </c>
      <c r="D431" t="s">
        <v>9</v>
      </c>
      <c r="E431">
        <v>28</v>
      </c>
      <c r="F431" s="2" t="s">
        <v>15</v>
      </c>
      <c r="G431" s="2">
        <v>3</v>
      </c>
      <c r="H431" s="5">
        <v>300</v>
      </c>
      <c r="I431" s="5">
        <f t="shared" si="12"/>
        <v>900</v>
      </c>
      <c r="J431" s="2" t="str">
        <f>TEXT([1]retail_sales_cleaned_dataset!B431,"mmmm")</f>
        <v>June</v>
      </c>
      <c r="K431" s="2">
        <f>MONTH([1]retail_sales_cleaned_dataset!B431)</f>
        <v>6</v>
      </c>
      <c r="L431" s="2">
        <f>YEAR([1]retail_sales_cleaned_dataset!B431)</f>
        <v>2025</v>
      </c>
      <c r="M431" s="2" t="str">
        <f t="shared" si="13"/>
        <v>26-35</v>
      </c>
    </row>
    <row r="432" spans="1:13" x14ac:dyDescent="0.25">
      <c r="A432" s="2">
        <v>431</v>
      </c>
      <c r="B432" s="1">
        <v>45810</v>
      </c>
      <c r="C432" t="s">
        <v>302</v>
      </c>
      <c r="D432" t="s">
        <v>9</v>
      </c>
      <c r="E432">
        <v>58</v>
      </c>
      <c r="F432" s="2" t="s">
        <v>15</v>
      </c>
      <c r="G432" s="2">
        <v>4</v>
      </c>
      <c r="H432" s="5">
        <v>300</v>
      </c>
      <c r="I432" s="5">
        <f t="shared" si="12"/>
        <v>1200</v>
      </c>
      <c r="J432" s="2" t="str">
        <f>TEXT([1]retail_sales_cleaned_dataset!B432,"mmmm")</f>
        <v>June</v>
      </c>
      <c r="K432" s="2">
        <f>MONTH([1]retail_sales_cleaned_dataset!B432)</f>
        <v>6</v>
      </c>
      <c r="L432" s="2">
        <f>YEAR([1]retail_sales_cleaned_dataset!B432)</f>
        <v>2025</v>
      </c>
      <c r="M432" s="2" t="str">
        <f t="shared" si="13"/>
        <v>46+</v>
      </c>
    </row>
    <row r="433" spans="1:13" x14ac:dyDescent="0.25">
      <c r="A433" s="2">
        <v>432</v>
      </c>
      <c r="B433" s="1">
        <v>45811</v>
      </c>
      <c r="C433" t="s">
        <v>321</v>
      </c>
      <c r="D433" t="s">
        <v>12</v>
      </c>
      <c r="E433">
        <v>54</v>
      </c>
      <c r="F433" s="2" t="s">
        <v>15</v>
      </c>
      <c r="G433" s="2">
        <v>2</v>
      </c>
      <c r="H433" s="5">
        <v>500</v>
      </c>
      <c r="I433" s="5">
        <f t="shared" si="12"/>
        <v>1000</v>
      </c>
      <c r="J433" s="2" t="str">
        <f>TEXT([1]retail_sales_cleaned_dataset!B433,"mmmm")</f>
        <v>June</v>
      </c>
      <c r="K433" s="2">
        <f>MONTH([1]retail_sales_cleaned_dataset!B433)</f>
        <v>6</v>
      </c>
      <c r="L433" s="2">
        <f>YEAR([1]retail_sales_cleaned_dataset!B433)</f>
        <v>2025</v>
      </c>
      <c r="M433" s="2" t="str">
        <f t="shared" si="13"/>
        <v>46+</v>
      </c>
    </row>
    <row r="434" spans="1:13" x14ac:dyDescent="0.25">
      <c r="A434" s="2">
        <v>433</v>
      </c>
      <c r="B434" s="1">
        <v>45811</v>
      </c>
      <c r="C434" t="s">
        <v>322</v>
      </c>
      <c r="D434" t="s">
        <v>9</v>
      </c>
      <c r="E434">
        <v>31</v>
      </c>
      <c r="F434" s="2" t="s">
        <v>10</v>
      </c>
      <c r="G434" s="2">
        <v>4</v>
      </c>
      <c r="H434" s="5">
        <v>50</v>
      </c>
      <c r="I434" s="5">
        <f t="shared" si="12"/>
        <v>200</v>
      </c>
      <c r="J434" s="2" t="str">
        <f>TEXT([1]retail_sales_cleaned_dataset!B434,"mmmm")</f>
        <v>June</v>
      </c>
      <c r="K434" s="2">
        <f>MONTH([1]retail_sales_cleaned_dataset!B434)</f>
        <v>6</v>
      </c>
      <c r="L434" s="2">
        <f>YEAR([1]retail_sales_cleaned_dataset!B434)</f>
        <v>2025</v>
      </c>
      <c r="M434" s="2" t="str">
        <f t="shared" si="13"/>
        <v>26-35</v>
      </c>
    </row>
    <row r="435" spans="1:13" x14ac:dyDescent="0.25">
      <c r="A435" s="2">
        <v>434</v>
      </c>
      <c r="B435" s="1">
        <v>45811</v>
      </c>
      <c r="C435" t="s">
        <v>117</v>
      </c>
      <c r="D435" t="s">
        <v>12</v>
      </c>
      <c r="E435">
        <v>47</v>
      </c>
      <c r="F435" s="2" t="s">
        <v>15</v>
      </c>
      <c r="G435" s="2">
        <v>2</v>
      </c>
      <c r="H435" s="5">
        <v>25</v>
      </c>
      <c r="I435" s="5">
        <f t="shared" si="12"/>
        <v>50</v>
      </c>
      <c r="J435" s="2" t="str">
        <f>TEXT([1]retail_sales_cleaned_dataset!B435,"mmmm")</f>
        <v>June</v>
      </c>
      <c r="K435" s="2">
        <f>MONTH([1]retail_sales_cleaned_dataset!B435)</f>
        <v>6</v>
      </c>
      <c r="L435" s="2">
        <f>YEAR([1]retail_sales_cleaned_dataset!B435)</f>
        <v>2025</v>
      </c>
      <c r="M435" s="2" t="str">
        <f t="shared" si="13"/>
        <v>46+</v>
      </c>
    </row>
    <row r="436" spans="1:13" x14ac:dyDescent="0.25">
      <c r="A436" s="2">
        <v>435</v>
      </c>
      <c r="B436" s="1">
        <v>45812</v>
      </c>
      <c r="C436" t="s">
        <v>323</v>
      </c>
      <c r="D436" t="s">
        <v>12</v>
      </c>
      <c r="E436">
        <v>52</v>
      </c>
      <c r="F436" s="2" t="s">
        <v>10</v>
      </c>
      <c r="G436" s="2">
        <v>3</v>
      </c>
      <c r="H436" s="5">
        <v>300</v>
      </c>
      <c r="I436" s="5">
        <f t="shared" si="12"/>
        <v>900</v>
      </c>
      <c r="J436" s="2" t="str">
        <f>TEXT([1]retail_sales_cleaned_dataset!B436,"mmmm")</f>
        <v>June</v>
      </c>
      <c r="K436" s="2">
        <f>MONTH([1]retail_sales_cleaned_dataset!B436)</f>
        <v>6</v>
      </c>
      <c r="L436" s="2">
        <f>YEAR([1]retail_sales_cleaned_dataset!B436)</f>
        <v>2025</v>
      </c>
      <c r="M436" s="2" t="str">
        <f t="shared" si="13"/>
        <v>46+</v>
      </c>
    </row>
    <row r="437" spans="1:13" x14ac:dyDescent="0.25">
      <c r="A437" s="2">
        <v>436</v>
      </c>
      <c r="B437" s="1">
        <v>45812</v>
      </c>
      <c r="C437" t="s">
        <v>216</v>
      </c>
      <c r="D437" t="s">
        <v>9</v>
      </c>
      <c r="E437">
        <v>38</v>
      </c>
      <c r="F437" s="2" t="s">
        <v>13</v>
      </c>
      <c r="G437" s="2">
        <v>4</v>
      </c>
      <c r="H437" s="5">
        <v>30</v>
      </c>
      <c r="I437" s="5">
        <f t="shared" si="12"/>
        <v>120</v>
      </c>
      <c r="J437" s="2" t="str">
        <f>TEXT([1]retail_sales_cleaned_dataset!B437,"mmmm")</f>
        <v>June</v>
      </c>
      <c r="K437" s="2">
        <f>MONTH([1]retail_sales_cleaned_dataset!B437)</f>
        <v>6</v>
      </c>
      <c r="L437" s="2">
        <f>YEAR([1]retail_sales_cleaned_dataset!B437)</f>
        <v>2025</v>
      </c>
      <c r="M437" s="2" t="str">
        <f t="shared" si="13"/>
        <v>36-45</v>
      </c>
    </row>
    <row r="438" spans="1:13" x14ac:dyDescent="0.25">
      <c r="A438" s="2">
        <v>437</v>
      </c>
      <c r="B438" s="1">
        <v>45812</v>
      </c>
      <c r="C438" t="s">
        <v>324</v>
      </c>
      <c r="D438" t="s">
        <v>9</v>
      </c>
      <c r="E438">
        <v>54</v>
      </c>
      <c r="F438" s="2" t="s">
        <v>15</v>
      </c>
      <c r="G438" s="2">
        <v>4</v>
      </c>
      <c r="H438" s="5">
        <v>300</v>
      </c>
      <c r="I438" s="5">
        <f t="shared" si="12"/>
        <v>1200</v>
      </c>
      <c r="J438" s="2" t="str">
        <f>TEXT([1]retail_sales_cleaned_dataset!B438,"mmmm")</f>
        <v>June</v>
      </c>
      <c r="K438" s="2">
        <f>MONTH([1]retail_sales_cleaned_dataset!B438)</f>
        <v>6</v>
      </c>
      <c r="L438" s="2">
        <f>YEAR([1]retail_sales_cleaned_dataset!B438)</f>
        <v>2025</v>
      </c>
      <c r="M438" s="2" t="str">
        <f t="shared" si="13"/>
        <v>46+</v>
      </c>
    </row>
    <row r="439" spans="1:13" x14ac:dyDescent="0.25">
      <c r="A439" s="2">
        <v>438</v>
      </c>
      <c r="B439" s="1">
        <v>45812</v>
      </c>
      <c r="C439" t="s">
        <v>316</v>
      </c>
      <c r="D439" t="s">
        <v>12</v>
      </c>
      <c r="E439">
        <v>22</v>
      </c>
      <c r="F439" s="2" t="s">
        <v>13</v>
      </c>
      <c r="G439" s="2">
        <v>1</v>
      </c>
      <c r="H439" s="5">
        <v>30</v>
      </c>
      <c r="I439" s="5">
        <f t="shared" si="12"/>
        <v>30</v>
      </c>
      <c r="J439" s="2" t="str">
        <f>TEXT([1]retail_sales_cleaned_dataset!B439,"mmmm")</f>
        <v>June</v>
      </c>
      <c r="K439" s="2">
        <f>MONTH([1]retail_sales_cleaned_dataset!B439)</f>
        <v>6</v>
      </c>
      <c r="L439" s="2">
        <f>YEAR([1]retail_sales_cleaned_dataset!B439)</f>
        <v>2025</v>
      </c>
      <c r="M439" s="2" t="str">
        <f t="shared" si="13"/>
        <v>18-25</v>
      </c>
    </row>
    <row r="440" spans="1:13" x14ac:dyDescent="0.25">
      <c r="A440" s="2">
        <v>439</v>
      </c>
      <c r="B440" s="1">
        <v>45813</v>
      </c>
      <c r="C440" t="s">
        <v>325</v>
      </c>
      <c r="D440" t="s">
        <v>12</v>
      </c>
      <c r="E440">
        <v>36</v>
      </c>
      <c r="F440" s="2" t="s">
        <v>13</v>
      </c>
      <c r="G440" s="2">
        <v>3</v>
      </c>
      <c r="H440" s="5">
        <v>25</v>
      </c>
      <c r="I440" s="5">
        <f t="shared" si="12"/>
        <v>75</v>
      </c>
      <c r="J440" s="2" t="str">
        <f>TEXT([1]retail_sales_cleaned_dataset!B440,"mmmm")</f>
        <v>June</v>
      </c>
      <c r="K440" s="2">
        <f>MONTH([1]retail_sales_cleaned_dataset!B440)</f>
        <v>6</v>
      </c>
      <c r="L440" s="2">
        <f>YEAR([1]retail_sales_cleaned_dataset!B440)</f>
        <v>2025</v>
      </c>
      <c r="M440" s="2" t="str">
        <f t="shared" si="13"/>
        <v>36-45</v>
      </c>
    </row>
    <row r="441" spans="1:13" x14ac:dyDescent="0.25">
      <c r="A441" s="2">
        <v>440</v>
      </c>
      <c r="B441" s="1">
        <v>45813</v>
      </c>
      <c r="C441" t="s">
        <v>326</v>
      </c>
      <c r="D441" t="s">
        <v>9</v>
      </c>
      <c r="E441">
        <v>31</v>
      </c>
      <c r="F441" s="2" t="s">
        <v>13</v>
      </c>
      <c r="G441" s="2">
        <v>2</v>
      </c>
      <c r="H441" s="5">
        <v>300</v>
      </c>
      <c r="I441" s="5">
        <f t="shared" si="12"/>
        <v>600</v>
      </c>
      <c r="J441" s="2" t="str">
        <f>TEXT([1]retail_sales_cleaned_dataset!B441,"mmmm")</f>
        <v>June</v>
      </c>
      <c r="K441" s="2">
        <f>MONTH([1]retail_sales_cleaned_dataset!B441)</f>
        <v>6</v>
      </c>
      <c r="L441" s="2">
        <f>YEAR([1]retail_sales_cleaned_dataset!B441)</f>
        <v>2025</v>
      </c>
      <c r="M441" s="2" t="str">
        <f t="shared" si="13"/>
        <v>26-35</v>
      </c>
    </row>
    <row r="442" spans="1:13" x14ac:dyDescent="0.25">
      <c r="A442" s="2">
        <v>441</v>
      </c>
      <c r="B442" s="1">
        <v>45814</v>
      </c>
      <c r="C442" t="s">
        <v>327</v>
      </c>
      <c r="D442" t="s">
        <v>12</v>
      </c>
      <c r="E442">
        <v>43</v>
      </c>
      <c r="F442" s="2" t="s">
        <v>10</v>
      </c>
      <c r="G442" s="2">
        <v>4</v>
      </c>
      <c r="H442" s="5">
        <v>300</v>
      </c>
      <c r="I442" s="5">
        <f t="shared" si="12"/>
        <v>1200</v>
      </c>
      <c r="J442" s="2" t="str">
        <f>TEXT([1]retail_sales_cleaned_dataset!B442,"mmmm")</f>
        <v>June</v>
      </c>
      <c r="K442" s="2">
        <f>MONTH([1]retail_sales_cleaned_dataset!B442)</f>
        <v>6</v>
      </c>
      <c r="L442" s="2">
        <f>YEAR([1]retail_sales_cleaned_dataset!B442)</f>
        <v>2025</v>
      </c>
      <c r="M442" s="2" t="str">
        <f t="shared" si="13"/>
        <v>36-45</v>
      </c>
    </row>
    <row r="443" spans="1:13" x14ac:dyDescent="0.25">
      <c r="A443" s="2">
        <v>442</v>
      </c>
      <c r="B443" s="1">
        <v>45814</v>
      </c>
      <c r="C443" t="s">
        <v>328</v>
      </c>
      <c r="D443" t="s">
        <v>9</v>
      </c>
      <c r="E443">
        <v>21</v>
      </c>
      <c r="F443" s="2" t="s">
        <v>13</v>
      </c>
      <c r="G443" s="2">
        <v>4</v>
      </c>
      <c r="H443" s="5">
        <v>25</v>
      </c>
      <c r="I443" s="5">
        <f t="shared" si="12"/>
        <v>100</v>
      </c>
      <c r="J443" s="2" t="str">
        <f>TEXT([1]retail_sales_cleaned_dataset!B443,"mmmm")</f>
        <v>June</v>
      </c>
      <c r="K443" s="2">
        <f>MONTH([1]retail_sales_cleaned_dataset!B443)</f>
        <v>6</v>
      </c>
      <c r="L443" s="2">
        <f>YEAR([1]retail_sales_cleaned_dataset!B443)</f>
        <v>2025</v>
      </c>
      <c r="M443" s="2" t="str">
        <f t="shared" si="13"/>
        <v>18-25</v>
      </c>
    </row>
    <row r="444" spans="1:13" x14ac:dyDescent="0.25">
      <c r="A444" s="2">
        <v>443</v>
      </c>
      <c r="B444" s="1">
        <v>45814</v>
      </c>
      <c r="C444" t="s">
        <v>329</v>
      </c>
      <c r="D444" t="s">
        <v>12</v>
      </c>
      <c r="E444">
        <v>42</v>
      </c>
      <c r="F444" s="2" t="s">
        <v>13</v>
      </c>
      <c r="G444" s="2">
        <v>2</v>
      </c>
      <c r="H444" s="5">
        <v>300</v>
      </c>
      <c r="I444" s="5">
        <f t="shared" si="12"/>
        <v>600</v>
      </c>
      <c r="J444" s="2" t="str">
        <f>TEXT([1]retail_sales_cleaned_dataset!B444,"mmmm")</f>
        <v>June</v>
      </c>
      <c r="K444" s="2">
        <f>MONTH([1]retail_sales_cleaned_dataset!B444)</f>
        <v>6</v>
      </c>
      <c r="L444" s="2">
        <f>YEAR([1]retail_sales_cleaned_dataset!B444)</f>
        <v>2025</v>
      </c>
      <c r="M444" s="2" t="str">
        <f t="shared" si="13"/>
        <v>36-45</v>
      </c>
    </row>
    <row r="445" spans="1:13" x14ac:dyDescent="0.25">
      <c r="A445" s="2">
        <v>444</v>
      </c>
      <c r="B445" s="1">
        <v>45814</v>
      </c>
      <c r="C445" t="s">
        <v>330</v>
      </c>
      <c r="D445" t="s">
        <v>9</v>
      </c>
      <c r="E445">
        <v>62</v>
      </c>
      <c r="F445" s="2" t="s">
        <v>13</v>
      </c>
      <c r="G445" s="2">
        <v>3</v>
      </c>
      <c r="H445" s="5">
        <v>30</v>
      </c>
      <c r="I445" s="5">
        <f t="shared" si="12"/>
        <v>90</v>
      </c>
      <c r="J445" s="2" t="str">
        <f>TEXT([1]retail_sales_cleaned_dataset!B445,"mmmm")</f>
        <v>June</v>
      </c>
      <c r="K445" s="2">
        <f>MONTH([1]retail_sales_cleaned_dataset!B445)</f>
        <v>6</v>
      </c>
      <c r="L445" s="2">
        <f>YEAR([1]retail_sales_cleaned_dataset!B445)</f>
        <v>2025</v>
      </c>
      <c r="M445" s="2" t="str">
        <f t="shared" si="13"/>
        <v>46+</v>
      </c>
    </row>
    <row r="446" spans="1:13" x14ac:dyDescent="0.25">
      <c r="A446" s="2">
        <v>445</v>
      </c>
      <c r="B446" s="1">
        <v>45815</v>
      </c>
      <c r="C446" t="s">
        <v>331</v>
      </c>
      <c r="D446" t="s">
        <v>9</v>
      </c>
      <c r="E446">
        <v>59</v>
      </c>
      <c r="F446" s="2" t="s">
        <v>15</v>
      </c>
      <c r="G446" s="2">
        <v>1</v>
      </c>
      <c r="H446" s="5">
        <v>300</v>
      </c>
      <c r="I446" s="5">
        <f t="shared" si="12"/>
        <v>300</v>
      </c>
      <c r="J446" s="2" t="str">
        <f>TEXT([1]retail_sales_cleaned_dataset!B446,"mmmm")</f>
        <v>June</v>
      </c>
      <c r="K446" s="2">
        <f>MONTH([1]retail_sales_cleaned_dataset!B446)</f>
        <v>6</v>
      </c>
      <c r="L446" s="2">
        <f>YEAR([1]retail_sales_cleaned_dataset!B446)</f>
        <v>2025</v>
      </c>
      <c r="M446" s="2" t="str">
        <f t="shared" si="13"/>
        <v>46+</v>
      </c>
    </row>
    <row r="447" spans="1:13" x14ac:dyDescent="0.25">
      <c r="A447" s="2">
        <v>446</v>
      </c>
      <c r="B447" s="1">
        <v>45815</v>
      </c>
      <c r="C447" t="s">
        <v>332</v>
      </c>
      <c r="D447" t="s">
        <v>9</v>
      </c>
      <c r="E447">
        <v>42</v>
      </c>
      <c r="F447" s="2" t="s">
        <v>15</v>
      </c>
      <c r="G447" s="2">
        <v>1</v>
      </c>
      <c r="H447" s="5">
        <v>50</v>
      </c>
      <c r="I447" s="5">
        <f t="shared" si="12"/>
        <v>50</v>
      </c>
      <c r="J447" s="2" t="str">
        <f>TEXT([1]retail_sales_cleaned_dataset!B447,"mmmm")</f>
        <v>June</v>
      </c>
      <c r="K447" s="2">
        <f>MONTH([1]retail_sales_cleaned_dataset!B447)</f>
        <v>6</v>
      </c>
      <c r="L447" s="2">
        <f>YEAR([1]retail_sales_cleaned_dataset!B447)</f>
        <v>2025</v>
      </c>
      <c r="M447" s="2" t="str">
        <f t="shared" si="13"/>
        <v>36-45</v>
      </c>
    </row>
    <row r="448" spans="1:13" x14ac:dyDescent="0.25">
      <c r="A448" s="2">
        <v>447</v>
      </c>
      <c r="B448" s="1">
        <v>45816</v>
      </c>
      <c r="C448" t="s">
        <v>333</v>
      </c>
      <c r="D448" t="s">
        <v>12</v>
      </c>
      <c r="E448">
        <v>35</v>
      </c>
      <c r="F448" s="2" t="s">
        <v>10</v>
      </c>
      <c r="G448" s="2">
        <v>1</v>
      </c>
      <c r="H448" s="5">
        <v>500</v>
      </c>
      <c r="I448" s="5">
        <f t="shared" si="12"/>
        <v>500</v>
      </c>
      <c r="J448" s="2" t="str">
        <f>TEXT([1]retail_sales_cleaned_dataset!B448,"mmmm")</f>
        <v>June</v>
      </c>
      <c r="K448" s="2">
        <f>MONTH([1]retail_sales_cleaned_dataset!B448)</f>
        <v>6</v>
      </c>
      <c r="L448" s="2">
        <f>YEAR([1]retail_sales_cleaned_dataset!B448)</f>
        <v>2025</v>
      </c>
      <c r="M448" s="2" t="str">
        <f t="shared" si="13"/>
        <v>26-35</v>
      </c>
    </row>
    <row r="449" spans="1:13" x14ac:dyDescent="0.25">
      <c r="A449" s="2">
        <v>448</v>
      </c>
      <c r="B449" s="1">
        <v>45816</v>
      </c>
      <c r="C449" t="s">
        <v>334</v>
      </c>
      <c r="D449" t="s">
        <v>12</v>
      </c>
      <c r="E449">
        <v>57</v>
      </c>
      <c r="F449" s="2" t="s">
        <v>10</v>
      </c>
      <c r="G449" s="2">
        <v>2</v>
      </c>
      <c r="H449" s="5">
        <v>30</v>
      </c>
      <c r="I449" s="5">
        <f t="shared" si="12"/>
        <v>60</v>
      </c>
      <c r="J449" s="2" t="str">
        <f>TEXT([1]retail_sales_cleaned_dataset!B449,"mmmm")</f>
        <v>June</v>
      </c>
      <c r="K449" s="2">
        <f>MONTH([1]retail_sales_cleaned_dataset!B449)</f>
        <v>6</v>
      </c>
      <c r="L449" s="2">
        <f>YEAR([1]retail_sales_cleaned_dataset!B449)</f>
        <v>2025</v>
      </c>
      <c r="M449" s="2" t="str">
        <f t="shared" si="13"/>
        <v>46+</v>
      </c>
    </row>
    <row r="450" spans="1:13" x14ac:dyDescent="0.25">
      <c r="A450" s="2">
        <v>449</v>
      </c>
      <c r="B450" s="1">
        <v>45817</v>
      </c>
      <c r="C450" t="s">
        <v>335</v>
      </c>
      <c r="D450" t="s">
        <v>9</v>
      </c>
      <c r="E450">
        <v>25</v>
      </c>
      <c r="F450" s="2" t="s">
        <v>15</v>
      </c>
      <c r="G450" s="2">
        <v>4</v>
      </c>
      <c r="H450" s="5">
        <v>50</v>
      </c>
      <c r="I450" s="5">
        <f t="shared" ref="I450:I513" si="14">G450*H450</f>
        <v>200</v>
      </c>
      <c r="J450" s="2" t="str">
        <f>TEXT([1]retail_sales_cleaned_dataset!B450,"mmmm")</f>
        <v>June</v>
      </c>
      <c r="K450" s="2">
        <f>MONTH([1]retail_sales_cleaned_dataset!B450)</f>
        <v>6</v>
      </c>
      <c r="L450" s="2">
        <f>YEAR([1]retail_sales_cleaned_dataset!B450)</f>
        <v>2025</v>
      </c>
      <c r="M450" s="2" t="str">
        <f t="shared" ref="M450:M513" si="15">IF(E450&lt;=25,"18-25",IF(E450&lt;=35,"26-35",IF(E450&lt;=45,"36-45","46+")))</f>
        <v>18-25</v>
      </c>
    </row>
    <row r="451" spans="1:13" x14ac:dyDescent="0.25">
      <c r="A451" s="2">
        <v>450</v>
      </c>
      <c r="B451" s="1">
        <v>45817</v>
      </c>
      <c r="C451" t="s">
        <v>336</v>
      </c>
      <c r="D451" t="s">
        <v>12</v>
      </c>
      <c r="E451">
        <v>56</v>
      </c>
      <c r="F451" s="2" t="s">
        <v>10</v>
      </c>
      <c r="G451" s="2">
        <v>2</v>
      </c>
      <c r="H451" s="5">
        <v>25</v>
      </c>
      <c r="I451" s="5">
        <f t="shared" si="14"/>
        <v>50</v>
      </c>
      <c r="J451" s="2" t="str">
        <f>TEXT([1]retail_sales_cleaned_dataset!B451,"mmmm")</f>
        <v>June</v>
      </c>
      <c r="K451" s="2">
        <f>MONTH([1]retail_sales_cleaned_dataset!B451)</f>
        <v>6</v>
      </c>
      <c r="L451" s="2">
        <f>YEAR([1]retail_sales_cleaned_dataset!B451)</f>
        <v>2025</v>
      </c>
      <c r="M451" s="2" t="str">
        <f t="shared" si="15"/>
        <v>46+</v>
      </c>
    </row>
    <row r="452" spans="1:13" x14ac:dyDescent="0.25">
      <c r="A452" s="2">
        <v>451</v>
      </c>
      <c r="B452" s="1">
        <v>45817</v>
      </c>
      <c r="C452" t="s">
        <v>337</v>
      </c>
      <c r="D452" t="s">
        <v>9</v>
      </c>
      <c r="E452">
        <v>57</v>
      </c>
      <c r="F452" s="2" t="s">
        <v>15</v>
      </c>
      <c r="G452" s="2">
        <v>1</v>
      </c>
      <c r="H452" s="5">
        <v>30</v>
      </c>
      <c r="I452" s="5">
        <f t="shared" si="14"/>
        <v>30</v>
      </c>
      <c r="J452" s="2" t="str">
        <f>TEXT([1]retail_sales_cleaned_dataset!B452,"mmmm")</f>
        <v>June</v>
      </c>
      <c r="K452" s="2">
        <f>MONTH([1]retail_sales_cleaned_dataset!B452)</f>
        <v>6</v>
      </c>
      <c r="L452" s="2">
        <f>YEAR([1]retail_sales_cleaned_dataset!B452)</f>
        <v>2025</v>
      </c>
      <c r="M452" s="2" t="str">
        <f t="shared" si="15"/>
        <v>46+</v>
      </c>
    </row>
    <row r="453" spans="1:13" x14ac:dyDescent="0.25">
      <c r="A453" s="2">
        <v>452</v>
      </c>
      <c r="B453" s="1">
        <v>45818</v>
      </c>
      <c r="C453" t="s">
        <v>338</v>
      </c>
      <c r="D453" t="s">
        <v>9</v>
      </c>
      <c r="E453">
        <v>31</v>
      </c>
      <c r="F453" s="2" t="s">
        <v>13</v>
      </c>
      <c r="G453" s="2">
        <v>3</v>
      </c>
      <c r="H453" s="5">
        <v>500</v>
      </c>
      <c r="I453" s="5">
        <f t="shared" si="14"/>
        <v>1500</v>
      </c>
      <c r="J453" s="2" t="str">
        <f>TEXT([1]retail_sales_cleaned_dataset!B453,"mmmm")</f>
        <v>June</v>
      </c>
      <c r="K453" s="2">
        <f>MONTH([1]retail_sales_cleaned_dataset!B453)</f>
        <v>6</v>
      </c>
      <c r="L453" s="2">
        <f>YEAR([1]retail_sales_cleaned_dataset!B453)</f>
        <v>2025</v>
      </c>
      <c r="M453" s="2" t="str">
        <f t="shared" si="15"/>
        <v>26-35</v>
      </c>
    </row>
    <row r="454" spans="1:13" x14ac:dyDescent="0.25">
      <c r="A454" s="2">
        <v>453</v>
      </c>
      <c r="B454" s="1">
        <v>45818</v>
      </c>
      <c r="C454" t="s">
        <v>85</v>
      </c>
      <c r="D454" t="s">
        <v>12</v>
      </c>
      <c r="E454">
        <v>49</v>
      </c>
      <c r="F454" s="2" t="s">
        <v>13</v>
      </c>
      <c r="G454" s="2">
        <v>2</v>
      </c>
      <c r="H454" s="5">
        <v>500</v>
      </c>
      <c r="I454" s="5">
        <f t="shared" si="14"/>
        <v>1000</v>
      </c>
      <c r="J454" s="2" t="str">
        <f>TEXT([1]retail_sales_cleaned_dataset!B454,"mmmm")</f>
        <v>June</v>
      </c>
      <c r="K454" s="2">
        <f>MONTH([1]retail_sales_cleaned_dataset!B454)</f>
        <v>6</v>
      </c>
      <c r="L454" s="2">
        <f>YEAR([1]retail_sales_cleaned_dataset!B454)</f>
        <v>2025</v>
      </c>
      <c r="M454" s="2" t="str">
        <f t="shared" si="15"/>
        <v>46+</v>
      </c>
    </row>
    <row r="455" spans="1:13" x14ac:dyDescent="0.25">
      <c r="A455" s="2">
        <v>454</v>
      </c>
      <c r="B455" s="1">
        <v>45818</v>
      </c>
      <c r="C455" t="s">
        <v>339</v>
      </c>
      <c r="D455" t="s">
        <v>12</v>
      </c>
      <c r="E455">
        <v>55</v>
      </c>
      <c r="F455" s="2" t="s">
        <v>10</v>
      </c>
      <c r="G455" s="2">
        <v>1</v>
      </c>
      <c r="H455" s="5">
        <v>25</v>
      </c>
      <c r="I455" s="5">
        <f t="shared" si="14"/>
        <v>25</v>
      </c>
      <c r="J455" s="2" t="str">
        <f>TEXT([1]retail_sales_cleaned_dataset!B455,"mmmm")</f>
        <v>June</v>
      </c>
      <c r="K455" s="2">
        <f>MONTH([1]retail_sales_cleaned_dataset!B455)</f>
        <v>6</v>
      </c>
      <c r="L455" s="2">
        <f>YEAR([1]retail_sales_cleaned_dataset!B455)</f>
        <v>2025</v>
      </c>
      <c r="M455" s="2" t="str">
        <f t="shared" si="15"/>
        <v>46+</v>
      </c>
    </row>
    <row r="456" spans="1:13" x14ac:dyDescent="0.25">
      <c r="A456" s="2">
        <v>455</v>
      </c>
      <c r="B456" s="1">
        <v>45818</v>
      </c>
      <c r="C456" t="s">
        <v>149</v>
      </c>
      <c r="D456" t="s">
        <v>9</v>
      </c>
      <c r="E456">
        <v>50</v>
      </c>
      <c r="F456" s="2" t="s">
        <v>15</v>
      </c>
      <c r="G456" s="2">
        <v>4</v>
      </c>
      <c r="H456" s="5">
        <v>25</v>
      </c>
      <c r="I456" s="5">
        <f t="shared" si="14"/>
        <v>100</v>
      </c>
      <c r="J456" s="2" t="str">
        <f>TEXT([1]retail_sales_cleaned_dataset!B456,"mmmm")</f>
        <v>June</v>
      </c>
      <c r="K456" s="2">
        <f>MONTH([1]retail_sales_cleaned_dataset!B456)</f>
        <v>6</v>
      </c>
      <c r="L456" s="2">
        <f>YEAR([1]retail_sales_cleaned_dataset!B456)</f>
        <v>2025</v>
      </c>
      <c r="M456" s="2" t="str">
        <f t="shared" si="15"/>
        <v>46+</v>
      </c>
    </row>
    <row r="457" spans="1:13" x14ac:dyDescent="0.25">
      <c r="A457" s="2">
        <v>456</v>
      </c>
      <c r="B457" s="1">
        <v>45819</v>
      </c>
      <c r="C457" t="s">
        <v>340</v>
      </c>
      <c r="D457" t="s">
        <v>12</v>
      </c>
      <c r="E457">
        <v>40</v>
      </c>
      <c r="F457" s="2" t="s">
        <v>15</v>
      </c>
      <c r="G457" s="2">
        <v>2</v>
      </c>
      <c r="H457" s="5">
        <v>30</v>
      </c>
      <c r="I457" s="5">
        <f t="shared" si="14"/>
        <v>60</v>
      </c>
      <c r="J457" s="2" t="str">
        <f>TEXT([1]retail_sales_cleaned_dataset!B457,"mmmm")</f>
        <v>June</v>
      </c>
      <c r="K457" s="2">
        <f>MONTH([1]retail_sales_cleaned_dataset!B457)</f>
        <v>6</v>
      </c>
      <c r="L457" s="2">
        <f>YEAR([1]retail_sales_cleaned_dataset!B457)</f>
        <v>2025</v>
      </c>
      <c r="M457" s="2" t="str">
        <f t="shared" si="15"/>
        <v>36-45</v>
      </c>
    </row>
    <row r="458" spans="1:13" x14ac:dyDescent="0.25">
      <c r="A458" s="2">
        <v>457</v>
      </c>
      <c r="B458" s="1">
        <v>45819</v>
      </c>
      <c r="C458" t="s">
        <v>269</v>
      </c>
      <c r="D458" t="s">
        <v>12</v>
      </c>
      <c r="E458">
        <v>32</v>
      </c>
      <c r="F458" s="2" t="s">
        <v>10</v>
      </c>
      <c r="G458" s="2">
        <v>3</v>
      </c>
      <c r="H458" s="5">
        <v>300</v>
      </c>
      <c r="I458" s="5">
        <f t="shared" si="14"/>
        <v>900</v>
      </c>
      <c r="J458" s="2" t="str">
        <f>TEXT([1]retail_sales_cleaned_dataset!B458,"mmmm")</f>
        <v>June</v>
      </c>
      <c r="K458" s="2">
        <f>MONTH([1]retail_sales_cleaned_dataset!B458)</f>
        <v>6</v>
      </c>
      <c r="L458" s="2">
        <f>YEAR([1]retail_sales_cleaned_dataset!B458)</f>
        <v>2025</v>
      </c>
      <c r="M458" s="2" t="str">
        <f t="shared" si="15"/>
        <v>26-35</v>
      </c>
    </row>
    <row r="459" spans="1:13" x14ac:dyDescent="0.25">
      <c r="A459" s="2">
        <v>458</v>
      </c>
      <c r="B459" s="1">
        <v>45819</v>
      </c>
      <c r="C459" t="s">
        <v>341</v>
      </c>
      <c r="D459" t="s">
        <v>9</v>
      </c>
      <c r="E459">
        <v>50</v>
      </c>
      <c r="F459" s="2" t="s">
        <v>15</v>
      </c>
      <c r="G459" s="2">
        <v>4</v>
      </c>
      <c r="H459" s="5">
        <v>25</v>
      </c>
      <c r="I459" s="5">
        <f t="shared" si="14"/>
        <v>100</v>
      </c>
      <c r="J459" s="2" t="str">
        <f>TEXT([1]retail_sales_cleaned_dataset!B459,"mmmm")</f>
        <v>June</v>
      </c>
      <c r="K459" s="2">
        <f>MONTH([1]retail_sales_cleaned_dataset!B459)</f>
        <v>6</v>
      </c>
      <c r="L459" s="2">
        <f>YEAR([1]retail_sales_cleaned_dataset!B459)</f>
        <v>2025</v>
      </c>
      <c r="M459" s="2" t="str">
        <f t="shared" si="15"/>
        <v>46+</v>
      </c>
    </row>
    <row r="460" spans="1:13" x14ac:dyDescent="0.25">
      <c r="A460" s="2">
        <v>459</v>
      </c>
      <c r="B460" s="1">
        <v>45819</v>
      </c>
      <c r="C460" t="s">
        <v>88</v>
      </c>
      <c r="D460" t="s">
        <v>9</v>
      </c>
      <c r="E460">
        <v>42</v>
      </c>
      <c r="F460" s="2" t="s">
        <v>13</v>
      </c>
      <c r="G460" s="2">
        <v>4</v>
      </c>
      <c r="H460" s="5">
        <v>300</v>
      </c>
      <c r="I460" s="5">
        <f t="shared" si="14"/>
        <v>1200</v>
      </c>
      <c r="J460" s="2" t="str">
        <f>TEXT([1]retail_sales_cleaned_dataset!B460,"mmmm")</f>
        <v>June</v>
      </c>
      <c r="K460" s="2">
        <f>MONTH([1]retail_sales_cleaned_dataset!B460)</f>
        <v>6</v>
      </c>
      <c r="L460" s="2">
        <f>YEAR([1]retail_sales_cleaned_dataset!B460)</f>
        <v>2025</v>
      </c>
      <c r="M460" s="2" t="str">
        <f t="shared" si="15"/>
        <v>36-45</v>
      </c>
    </row>
    <row r="461" spans="1:13" x14ac:dyDescent="0.25">
      <c r="A461" s="2">
        <v>460</v>
      </c>
      <c r="B461" s="1">
        <v>45819</v>
      </c>
      <c r="C461" t="s">
        <v>342</v>
      </c>
      <c r="D461" t="s">
        <v>12</v>
      </c>
      <c r="E461">
        <v>34</v>
      </c>
      <c r="F461" s="2" t="s">
        <v>10</v>
      </c>
      <c r="G461" s="2">
        <v>1</v>
      </c>
      <c r="H461" s="5">
        <v>50</v>
      </c>
      <c r="I461" s="5">
        <f t="shared" si="14"/>
        <v>50</v>
      </c>
      <c r="J461" s="2" t="str">
        <f>TEXT([1]retail_sales_cleaned_dataset!B461,"mmmm")</f>
        <v>June</v>
      </c>
      <c r="K461" s="2">
        <f>MONTH([1]retail_sales_cleaned_dataset!B461)</f>
        <v>6</v>
      </c>
      <c r="L461" s="2">
        <f>YEAR([1]retail_sales_cleaned_dataset!B461)</f>
        <v>2025</v>
      </c>
      <c r="M461" s="2" t="str">
        <f t="shared" si="15"/>
        <v>26-35</v>
      </c>
    </row>
    <row r="462" spans="1:13" x14ac:dyDescent="0.25">
      <c r="A462" s="2">
        <v>461</v>
      </c>
      <c r="B462" s="1">
        <v>45820</v>
      </c>
      <c r="C462" t="s">
        <v>343</v>
      </c>
      <c r="D462" t="s">
        <v>9</v>
      </c>
      <c r="E462">
        <v>50</v>
      </c>
      <c r="F462" s="2" t="s">
        <v>10</v>
      </c>
      <c r="G462" s="2">
        <v>2</v>
      </c>
      <c r="H462" s="5">
        <v>500</v>
      </c>
      <c r="I462" s="5">
        <f t="shared" si="14"/>
        <v>1000</v>
      </c>
      <c r="J462" s="2" t="str">
        <f>TEXT([1]retail_sales_cleaned_dataset!B462,"mmmm")</f>
        <v>June</v>
      </c>
      <c r="K462" s="2">
        <f>MONTH([1]retail_sales_cleaned_dataset!B462)</f>
        <v>6</v>
      </c>
      <c r="L462" s="2">
        <f>YEAR([1]retail_sales_cleaned_dataset!B462)</f>
        <v>2025</v>
      </c>
      <c r="M462" s="2" t="str">
        <f t="shared" si="15"/>
        <v>46+</v>
      </c>
    </row>
    <row r="463" spans="1:13" x14ac:dyDescent="0.25">
      <c r="A463" s="2">
        <v>462</v>
      </c>
      <c r="B463" s="1">
        <v>45821</v>
      </c>
      <c r="C463" t="s">
        <v>151</v>
      </c>
      <c r="D463" t="s">
        <v>9</v>
      </c>
      <c r="E463">
        <v>64</v>
      </c>
      <c r="F463" s="2" t="s">
        <v>15</v>
      </c>
      <c r="G463" s="2">
        <v>4</v>
      </c>
      <c r="H463" s="5">
        <v>300</v>
      </c>
      <c r="I463" s="5">
        <f t="shared" si="14"/>
        <v>1200</v>
      </c>
      <c r="J463" s="2" t="str">
        <f>TEXT([1]retail_sales_cleaned_dataset!B463,"mmmm")</f>
        <v>June</v>
      </c>
      <c r="K463" s="2">
        <f>MONTH([1]retail_sales_cleaned_dataset!B463)</f>
        <v>6</v>
      </c>
      <c r="L463" s="2">
        <f>YEAR([1]retail_sales_cleaned_dataset!B463)</f>
        <v>2025</v>
      </c>
      <c r="M463" s="2" t="str">
        <f t="shared" si="15"/>
        <v>46+</v>
      </c>
    </row>
    <row r="464" spans="1:13" x14ac:dyDescent="0.25">
      <c r="A464" s="2">
        <v>463</v>
      </c>
      <c r="B464" s="1">
        <v>45822</v>
      </c>
      <c r="C464" t="s">
        <v>344</v>
      </c>
      <c r="D464" t="s">
        <v>12</v>
      </c>
      <c r="E464">
        <v>19</v>
      </c>
      <c r="F464" s="2" t="s">
        <v>10</v>
      </c>
      <c r="G464" s="2">
        <v>3</v>
      </c>
      <c r="H464" s="5">
        <v>500</v>
      </c>
      <c r="I464" s="5">
        <f t="shared" si="14"/>
        <v>1500</v>
      </c>
      <c r="J464" s="2" t="str">
        <f>TEXT([1]retail_sales_cleaned_dataset!B464,"mmmm")</f>
        <v>June</v>
      </c>
      <c r="K464" s="2">
        <f>MONTH([1]retail_sales_cleaned_dataset!B464)</f>
        <v>6</v>
      </c>
      <c r="L464" s="2">
        <f>YEAR([1]retail_sales_cleaned_dataset!B464)</f>
        <v>2025</v>
      </c>
      <c r="M464" s="2" t="str">
        <f t="shared" si="15"/>
        <v>18-25</v>
      </c>
    </row>
    <row r="465" spans="1:13" x14ac:dyDescent="0.25">
      <c r="A465" s="2">
        <v>464</v>
      </c>
      <c r="B465" s="1">
        <v>45823</v>
      </c>
      <c r="C465" t="s">
        <v>270</v>
      </c>
      <c r="D465" t="s">
        <v>9</v>
      </c>
      <c r="E465">
        <v>31</v>
      </c>
      <c r="F465" s="2" t="s">
        <v>15</v>
      </c>
      <c r="G465" s="2">
        <v>2</v>
      </c>
      <c r="H465" s="5">
        <v>300</v>
      </c>
      <c r="I465" s="5">
        <f t="shared" si="14"/>
        <v>600</v>
      </c>
      <c r="J465" s="2" t="str">
        <f>TEXT([1]retail_sales_cleaned_dataset!B465,"mmmm")</f>
        <v>June</v>
      </c>
      <c r="K465" s="2">
        <f>MONTH([1]retail_sales_cleaned_dataset!B465)</f>
        <v>6</v>
      </c>
      <c r="L465" s="2">
        <f>YEAR([1]retail_sales_cleaned_dataset!B465)</f>
        <v>2025</v>
      </c>
      <c r="M465" s="2" t="str">
        <f t="shared" si="15"/>
        <v>26-35</v>
      </c>
    </row>
    <row r="466" spans="1:13" x14ac:dyDescent="0.25">
      <c r="A466" s="2">
        <v>465</v>
      </c>
      <c r="B466" s="1">
        <v>45823</v>
      </c>
      <c r="C466" t="s">
        <v>345</v>
      </c>
      <c r="D466" t="s">
        <v>9</v>
      </c>
      <c r="E466">
        <v>57</v>
      </c>
      <c r="F466" s="2" t="s">
        <v>15</v>
      </c>
      <c r="G466" s="2">
        <v>3</v>
      </c>
      <c r="H466" s="5">
        <v>50</v>
      </c>
      <c r="I466" s="5">
        <f t="shared" si="14"/>
        <v>150</v>
      </c>
      <c r="J466" s="2" t="str">
        <f>TEXT([1]retail_sales_cleaned_dataset!B466,"mmmm")</f>
        <v>June</v>
      </c>
      <c r="K466" s="2">
        <f>MONTH([1]retail_sales_cleaned_dataset!B466)</f>
        <v>6</v>
      </c>
      <c r="L466" s="2">
        <f>YEAR([1]retail_sales_cleaned_dataset!B466)</f>
        <v>2025</v>
      </c>
      <c r="M466" s="2" t="str">
        <f t="shared" si="15"/>
        <v>46+</v>
      </c>
    </row>
    <row r="467" spans="1:13" x14ac:dyDescent="0.25">
      <c r="A467" s="2">
        <v>466</v>
      </c>
      <c r="B467" s="1">
        <v>45824</v>
      </c>
      <c r="C467" t="s">
        <v>346</v>
      </c>
      <c r="D467" t="s">
        <v>12</v>
      </c>
      <c r="E467">
        <v>57</v>
      </c>
      <c r="F467" s="2" t="s">
        <v>15</v>
      </c>
      <c r="G467" s="2">
        <v>4</v>
      </c>
      <c r="H467" s="5">
        <v>25</v>
      </c>
      <c r="I467" s="5">
        <f t="shared" si="14"/>
        <v>100</v>
      </c>
      <c r="J467" s="2" t="str">
        <f>TEXT([1]retail_sales_cleaned_dataset!B467,"mmmm")</f>
        <v>June</v>
      </c>
      <c r="K467" s="2">
        <f>MONTH([1]retail_sales_cleaned_dataset!B467)</f>
        <v>6</v>
      </c>
      <c r="L467" s="2">
        <f>YEAR([1]retail_sales_cleaned_dataset!B467)</f>
        <v>2025</v>
      </c>
      <c r="M467" s="2" t="str">
        <f t="shared" si="15"/>
        <v>46+</v>
      </c>
    </row>
    <row r="468" spans="1:13" x14ac:dyDescent="0.25">
      <c r="A468" s="2">
        <v>467</v>
      </c>
      <c r="B468" s="1">
        <v>45824</v>
      </c>
      <c r="C468" t="s">
        <v>347</v>
      </c>
      <c r="D468" t="s">
        <v>12</v>
      </c>
      <c r="E468">
        <v>56</v>
      </c>
      <c r="F468" s="2" t="s">
        <v>15</v>
      </c>
      <c r="G468" s="2">
        <v>3</v>
      </c>
      <c r="H468" s="5">
        <v>50</v>
      </c>
      <c r="I468" s="5">
        <f t="shared" si="14"/>
        <v>150</v>
      </c>
      <c r="J468" s="2" t="str">
        <f>TEXT([1]retail_sales_cleaned_dataset!B468,"mmmm")</f>
        <v>June</v>
      </c>
      <c r="K468" s="2">
        <f>MONTH([1]retail_sales_cleaned_dataset!B468)</f>
        <v>6</v>
      </c>
      <c r="L468" s="2">
        <f>YEAR([1]retail_sales_cleaned_dataset!B468)</f>
        <v>2025</v>
      </c>
      <c r="M468" s="2" t="str">
        <f t="shared" si="15"/>
        <v>46+</v>
      </c>
    </row>
    <row r="469" spans="1:13" x14ac:dyDescent="0.25">
      <c r="A469" s="2">
        <v>468</v>
      </c>
      <c r="B469" s="1">
        <v>45825</v>
      </c>
      <c r="C469" t="s">
        <v>348</v>
      </c>
      <c r="D469" t="s">
        <v>9</v>
      </c>
      <c r="E469">
        <v>23</v>
      </c>
      <c r="F469" s="2" t="s">
        <v>15</v>
      </c>
      <c r="G469" s="2">
        <v>1</v>
      </c>
      <c r="H469" s="5">
        <v>25</v>
      </c>
      <c r="I469" s="5">
        <f t="shared" si="14"/>
        <v>25</v>
      </c>
      <c r="J469" s="2" t="str">
        <f>TEXT([1]retail_sales_cleaned_dataset!B469,"mmmm")</f>
        <v>June</v>
      </c>
      <c r="K469" s="2">
        <f>MONTH([1]retail_sales_cleaned_dataset!B469)</f>
        <v>6</v>
      </c>
      <c r="L469" s="2">
        <f>YEAR([1]retail_sales_cleaned_dataset!B469)</f>
        <v>2025</v>
      </c>
      <c r="M469" s="2" t="str">
        <f t="shared" si="15"/>
        <v>18-25</v>
      </c>
    </row>
    <row r="470" spans="1:13" x14ac:dyDescent="0.25">
      <c r="A470" s="2">
        <v>469</v>
      </c>
      <c r="B470" s="1">
        <v>45825</v>
      </c>
      <c r="C470" t="s">
        <v>349</v>
      </c>
      <c r="D470" t="s">
        <v>9</v>
      </c>
      <c r="E470">
        <v>23</v>
      </c>
      <c r="F470" s="2" t="s">
        <v>10</v>
      </c>
      <c r="G470" s="2">
        <v>3</v>
      </c>
      <c r="H470" s="5">
        <v>25</v>
      </c>
      <c r="I470" s="5">
        <f t="shared" si="14"/>
        <v>75</v>
      </c>
      <c r="J470" s="2" t="str">
        <f>TEXT([1]retail_sales_cleaned_dataset!B470,"mmmm")</f>
        <v>June</v>
      </c>
      <c r="K470" s="2">
        <f>MONTH([1]retail_sales_cleaned_dataset!B470)</f>
        <v>6</v>
      </c>
      <c r="L470" s="2">
        <f>YEAR([1]retail_sales_cleaned_dataset!B470)</f>
        <v>2025</v>
      </c>
      <c r="M470" s="2" t="str">
        <f t="shared" si="15"/>
        <v>18-25</v>
      </c>
    </row>
    <row r="471" spans="1:13" x14ac:dyDescent="0.25">
      <c r="A471" s="2">
        <v>470</v>
      </c>
      <c r="B471" s="1">
        <v>45825</v>
      </c>
      <c r="C471" t="s">
        <v>350</v>
      </c>
      <c r="D471" t="s">
        <v>12</v>
      </c>
      <c r="E471">
        <v>20</v>
      </c>
      <c r="F471" s="2" t="s">
        <v>13</v>
      </c>
      <c r="G471" s="2">
        <v>2</v>
      </c>
      <c r="H471" s="5">
        <v>500</v>
      </c>
      <c r="I471" s="5">
        <f t="shared" si="14"/>
        <v>1000</v>
      </c>
      <c r="J471" s="2" t="str">
        <f>TEXT([1]retail_sales_cleaned_dataset!B471,"mmmm")</f>
        <v>June</v>
      </c>
      <c r="K471" s="2">
        <f>MONTH([1]retail_sales_cleaned_dataset!B471)</f>
        <v>6</v>
      </c>
      <c r="L471" s="2">
        <f>YEAR([1]retail_sales_cleaned_dataset!B471)</f>
        <v>2025</v>
      </c>
      <c r="M471" s="2" t="str">
        <f t="shared" si="15"/>
        <v>18-25</v>
      </c>
    </row>
    <row r="472" spans="1:13" x14ac:dyDescent="0.25">
      <c r="A472" s="2">
        <v>471</v>
      </c>
      <c r="B472" s="1">
        <v>45826</v>
      </c>
      <c r="C472" t="s">
        <v>351</v>
      </c>
      <c r="D472" t="s">
        <v>12</v>
      </c>
      <c r="E472">
        <v>24</v>
      </c>
      <c r="F472" s="2" t="s">
        <v>13</v>
      </c>
      <c r="G472" s="2">
        <v>3</v>
      </c>
      <c r="H472" s="5">
        <v>50</v>
      </c>
      <c r="I472" s="5">
        <f t="shared" si="14"/>
        <v>150</v>
      </c>
      <c r="J472" s="2" t="str">
        <f>TEXT([1]retail_sales_cleaned_dataset!B472,"mmmm")</f>
        <v>June</v>
      </c>
      <c r="K472" s="2">
        <f>MONTH([1]retail_sales_cleaned_dataset!B472)</f>
        <v>6</v>
      </c>
      <c r="L472" s="2">
        <f>YEAR([1]retail_sales_cleaned_dataset!B472)</f>
        <v>2025</v>
      </c>
      <c r="M472" s="2" t="str">
        <f t="shared" si="15"/>
        <v>18-25</v>
      </c>
    </row>
    <row r="473" spans="1:13" x14ac:dyDescent="0.25">
      <c r="A473" s="2">
        <v>472</v>
      </c>
      <c r="B473" s="1">
        <v>45827</v>
      </c>
      <c r="C473" t="s">
        <v>352</v>
      </c>
      <c r="D473" t="s">
        <v>12</v>
      </c>
      <c r="E473">
        <v>25</v>
      </c>
      <c r="F473" s="2" t="s">
        <v>10</v>
      </c>
      <c r="G473" s="2">
        <v>3</v>
      </c>
      <c r="H473" s="5">
        <v>300</v>
      </c>
      <c r="I473" s="5">
        <f t="shared" si="14"/>
        <v>900</v>
      </c>
      <c r="J473" s="2" t="str">
        <f>TEXT([1]retail_sales_cleaned_dataset!B473,"mmmm")</f>
        <v>June</v>
      </c>
      <c r="K473" s="2">
        <f>MONTH([1]retail_sales_cleaned_dataset!B473)</f>
        <v>6</v>
      </c>
      <c r="L473" s="2">
        <f>YEAR([1]retail_sales_cleaned_dataset!B473)</f>
        <v>2025</v>
      </c>
      <c r="M473" s="2" t="str">
        <f t="shared" si="15"/>
        <v>18-25</v>
      </c>
    </row>
    <row r="474" spans="1:13" x14ac:dyDescent="0.25">
      <c r="A474" s="2">
        <v>473</v>
      </c>
      <c r="B474" s="1">
        <v>45827</v>
      </c>
      <c r="C474" t="s">
        <v>353</v>
      </c>
      <c r="D474" t="s">
        <v>12</v>
      </c>
      <c r="E474">
        <v>59</v>
      </c>
      <c r="F474" s="2" t="s">
        <v>10</v>
      </c>
      <c r="G474" s="2">
        <v>1</v>
      </c>
      <c r="H474" s="5">
        <v>50</v>
      </c>
      <c r="I474" s="5">
        <f t="shared" si="14"/>
        <v>50</v>
      </c>
      <c r="J474" s="2" t="str">
        <f>TEXT([1]retail_sales_cleaned_dataset!B474,"mmmm")</f>
        <v>June</v>
      </c>
      <c r="K474" s="2">
        <f>MONTH([1]retail_sales_cleaned_dataset!B474)</f>
        <v>6</v>
      </c>
      <c r="L474" s="2">
        <f>YEAR([1]retail_sales_cleaned_dataset!B474)</f>
        <v>2025</v>
      </c>
      <c r="M474" s="2" t="str">
        <f t="shared" si="15"/>
        <v>46+</v>
      </c>
    </row>
    <row r="475" spans="1:13" x14ac:dyDescent="0.25">
      <c r="A475" s="2">
        <v>474</v>
      </c>
      <c r="B475" s="1">
        <v>45827</v>
      </c>
      <c r="C475" t="s">
        <v>354</v>
      </c>
      <c r="D475" t="s">
        <v>9</v>
      </c>
      <c r="E475">
        <v>32</v>
      </c>
      <c r="F475" s="2" t="s">
        <v>13</v>
      </c>
      <c r="G475" s="2">
        <v>3</v>
      </c>
      <c r="H475" s="5">
        <v>500</v>
      </c>
      <c r="I475" s="5">
        <f t="shared" si="14"/>
        <v>1500</v>
      </c>
      <c r="J475" s="2" t="str">
        <f>TEXT([1]retail_sales_cleaned_dataset!B475,"mmmm")</f>
        <v>June</v>
      </c>
      <c r="K475" s="2">
        <f>MONTH([1]retail_sales_cleaned_dataset!B475)</f>
        <v>6</v>
      </c>
      <c r="L475" s="2">
        <f>YEAR([1]retail_sales_cleaned_dataset!B475)</f>
        <v>2025</v>
      </c>
      <c r="M475" s="2" t="str">
        <f t="shared" si="15"/>
        <v>26-35</v>
      </c>
    </row>
    <row r="476" spans="1:13" x14ac:dyDescent="0.25">
      <c r="A476" s="2">
        <v>475</v>
      </c>
      <c r="B476" s="1">
        <v>45827</v>
      </c>
      <c r="C476" t="s">
        <v>355</v>
      </c>
      <c r="D476" t="s">
        <v>12</v>
      </c>
      <c r="E476">
        <v>64</v>
      </c>
      <c r="F476" s="2" t="s">
        <v>13</v>
      </c>
      <c r="G476" s="2">
        <v>3</v>
      </c>
      <c r="H476" s="5">
        <v>25</v>
      </c>
      <c r="I476" s="5">
        <f t="shared" si="14"/>
        <v>75</v>
      </c>
      <c r="J476" s="2" t="str">
        <f>TEXT([1]retail_sales_cleaned_dataset!B476,"mmmm")</f>
        <v>June</v>
      </c>
      <c r="K476" s="2">
        <f>MONTH([1]retail_sales_cleaned_dataset!B476)</f>
        <v>6</v>
      </c>
      <c r="L476" s="2">
        <f>YEAR([1]retail_sales_cleaned_dataset!B476)</f>
        <v>2025</v>
      </c>
      <c r="M476" s="2" t="str">
        <f t="shared" si="15"/>
        <v>46+</v>
      </c>
    </row>
    <row r="477" spans="1:13" x14ac:dyDescent="0.25">
      <c r="A477" s="2">
        <v>476</v>
      </c>
      <c r="B477" s="1">
        <v>45827</v>
      </c>
      <c r="C477" t="s">
        <v>356</v>
      </c>
      <c r="D477" t="s">
        <v>12</v>
      </c>
      <c r="E477">
        <v>46</v>
      </c>
      <c r="F477" s="2" t="s">
        <v>13</v>
      </c>
      <c r="G477" s="2">
        <v>4</v>
      </c>
      <c r="H477" s="5">
        <v>500</v>
      </c>
      <c r="I477" s="5">
        <f t="shared" si="14"/>
        <v>2000</v>
      </c>
      <c r="J477" s="2" t="str">
        <f>TEXT([1]retail_sales_cleaned_dataset!B477,"mmmm")</f>
        <v>June</v>
      </c>
      <c r="K477" s="2">
        <f>MONTH([1]retail_sales_cleaned_dataset!B477)</f>
        <v>6</v>
      </c>
      <c r="L477" s="2">
        <f>YEAR([1]retail_sales_cleaned_dataset!B477)</f>
        <v>2025</v>
      </c>
      <c r="M477" s="2" t="str">
        <f t="shared" si="15"/>
        <v>46+</v>
      </c>
    </row>
    <row r="478" spans="1:13" x14ac:dyDescent="0.25">
      <c r="A478" s="2">
        <v>477</v>
      </c>
      <c r="B478" s="1">
        <v>45828</v>
      </c>
      <c r="C478" t="s">
        <v>357</v>
      </c>
      <c r="D478" t="s">
        <v>9</v>
      </c>
      <c r="E478">
        <v>50</v>
      </c>
      <c r="F478" s="2" t="s">
        <v>13</v>
      </c>
      <c r="G478" s="2">
        <v>4</v>
      </c>
      <c r="H478" s="5">
        <v>30</v>
      </c>
      <c r="I478" s="5">
        <f t="shared" si="14"/>
        <v>120</v>
      </c>
      <c r="J478" s="2" t="str">
        <f>TEXT([1]retail_sales_cleaned_dataset!B478,"mmmm")</f>
        <v>June</v>
      </c>
      <c r="K478" s="2">
        <f>MONTH([1]retail_sales_cleaned_dataset!B478)</f>
        <v>6</v>
      </c>
      <c r="L478" s="2">
        <f>YEAR([1]retail_sales_cleaned_dataset!B478)</f>
        <v>2025</v>
      </c>
      <c r="M478" s="2" t="str">
        <f t="shared" si="15"/>
        <v>46+</v>
      </c>
    </row>
    <row r="479" spans="1:13" x14ac:dyDescent="0.25">
      <c r="A479" s="2">
        <v>478</v>
      </c>
      <c r="B479" s="1">
        <v>45828</v>
      </c>
      <c r="C479" t="s">
        <v>358</v>
      </c>
      <c r="D479" t="s">
        <v>12</v>
      </c>
      <c r="E479">
        <v>47</v>
      </c>
      <c r="F479" s="2" t="s">
        <v>13</v>
      </c>
      <c r="G479" s="2">
        <v>6</v>
      </c>
      <c r="H479" s="5">
        <v>30</v>
      </c>
      <c r="I479" s="5">
        <f t="shared" si="14"/>
        <v>180</v>
      </c>
      <c r="J479" s="2" t="str">
        <f>TEXT([1]retail_sales_cleaned_dataset!B479,"mmmm")</f>
        <v>June</v>
      </c>
      <c r="K479" s="2">
        <f>MONTH([1]retail_sales_cleaned_dataset!B479)</f>
        <v>6</v>
      </c>
      <c r="L479" s="2">
        <f>YEAR([1]retail_sales_cleaned_dataset!B479)</f>
        <v>2025</v>
      </c>
      <c r="M479" s="2" t="str">
        <f t="shared" si="15"/>
        <v>46+</v>
      </c>
    </row>
    <row r="480" spans="1:13" x14ac:dyDescent="0.25">
      <c r="A480" s="2">
        <v>479</v>
      </c>
      <c r="B480" s="1">
        <v>45829</v>
      </c>
      <c r="C480" t="s">
        <v>359</v>
      </c>
      <c r="D480" t="s">
        <v>9</v>
      </c>
      <c r="E480">
        <v>56</v>
      </c>
      <c r="F480" s="2" t="s">
        <v>15</v>
      </c>
      <c r="G480" s="2">
        <v>4</v>
      </c>
      <c r="H480" s="5">
        <v>300</v>
      </c>
      <c r="I480" s="5">
        <f t="shared" si="14"/>
        <v>1200</v>
      </c>
      <c r="J480" s="2" t="str">
        <f>TEXT([1]retail_sales_cleaned_dataset!B480,"mmmm")</f>
        <v>June</v>
      </c>
      <c r="K480" s="2">
        <f>MONTH([1]retail_sales_cleaned_dataset!B480)</f>
        <v>6</v>
      </c>
      <c r="L480" s="2">
        <f>YEAR([1]retail_sales_cleaned_dataset!B480)</f>
        <v>2025</v>
      </c>
      <c r="M480" s="2" t="str">
        <f t="shared" si="15"/>
        <v>46+</v>
      </c>
    </row>
    <row r="481" spans="1:13" x14ac:dyDescent="0.25">
      <c r="A481" s="2">
        <v>480</v>
      </c>
      <c r="B481" s="1">
        <v>45829</v>
      </c>
      <c r="C481" t="s">
        <v>360</v>
      </c>
      <c r="D481" t="s">
        <v>12</v>
      </c>
      <c r="E481">
        <v>44</v>
      </c>
      <c r="F481" s="2" t="s">
        <v>10</v>
      </c>
      <c r="G481" s="2">
        <v>4</v>
      </c>
      <c r="H481" s="5">
        <v>500</v>
      </c>
      <c r="I481" s="5">
        <f t="shared" si="14"/>
        <v>2000</v>
      </c>
      <c r="J481" s="2" t="str">
        <f>TEXT([1]retail_sales_cleaned_dataset!B481,"mmmm")</f>
        <v>June</v>
      </c>
      <c r="K481" s="2">
        <f>MONTH([1]retail_sales_cleaned_dataset!B481)</f>
        <v>6</v>
      </c>
      <c r="L481" s="2">
        <f>YEAR([1]retail_sales_cleaned_dataset!B481)</f>
        <v>2025</v>
      </c>
      <c r="M481" s="2" t="str">
        <f t="shared" si="15"/>
        <v>36-45</v>
      </c>
    </row>
    <row r="482" spans="1:13" x14ac:dyDescent="0.25">
      <c r="A482" s="2">
        <v>481</v>
      </c>
      <c r="B482" s="1">
        <v>45830</v>
      </c>
      <c r="C482" t="s">
        <v>361</v>
      </c>
      <c r="D482" t="s">
        <v>12</v>
      </c>
      <c r="E482">
        <v>53</v>
      </c>
      <c r="F482" s="2" t="s">
        <v>15</v>
      </c>
      <c r="G482" s="2">
        <v>4</v>
      </c>
      <c r="H482" s="5">
        <v>300</v>
      </c>
      <c r="I482" s="5">
        <f t="shared" si="14"/>
        <v>1200</v>
      </c>
      <c r="J482" s="2" t="str">
        <f>TEXT([1]retail_sales_cleaned_dataset!B482,"mmmm")</f>
        <v>June</v>
      </c>
      <c r="K482" s="2">
        <f>MONTH([1]retail_sales_cleaned_dataset!B482)</f>
        <v>6</v>
      </c>
      <c r="L482" s="2">
        <f>YEAR([1]retail_sales_cleaned_dataset!B482)</f>
        <v>2025</v>
      </c>
      <c r="M482" s="2" t="str">
        <f t="shared" si="15"/>
        <v>46+</v>
      </c>
    </row>
    <row r="483" spans="1:13" x14ac:dyDescent="0.25">
      <c r="A483" s="2">
        <v>482</v>
      </c>
      <c r="B483" s="1">
        <v>45830</v>
      </c>
      <c r="C483" t="s">
        <v>362</v>
      </c>
      <c r="D483" t="s">
        <v>12</v>
      </c>
      <c r="E483">
        <v>46</v>
      </c>
      <c r="F483" s="2" t="s">
        <v>13</v>
      </c>
      <c r="G483" s="2">
        <v>4</v>
      </c>
      <c r="H483" s="5">
        <v>300</v>
      </c>
      <c r="I483" s="5">
        <f t="shared" si="14"/>
        <v>1200</v>
      </c>
      <c r="J483" s="2" t="str">
        <f>TEXT([1]retail_sales_cleaned_dataset!B483,"mmmm")</f>
        <v>June</v>
      </c>
      <c r="K483" s="2">
        <f>MONTH([1]retail_sales_cleaned_dataset!B483)</f>
        <v>6</v>
      </c>
      <c r="L483" s="2">
        <f>YEAR([1]retail_sales_cleaned_dataset!B483)</f>
        <v>2025</v>
      </c>
      <c r="M483" s="2" t="str">
        <f t="shared" si="15"/>
        <v>46+</v>
      </c>
    </row>
    <row r="484" spans="1:13" x14ac:dyDescent="0.25">
      <c r="A484" s="2">
        <v>483</v>
      </c>
      <c r="B484" s="1">
        <v>45830</v>
      </c>
      <c r="C484" t="s">
        <v>363</v>
      </c>
      <c r="D484" t="s">
        <v>9</v>
      </c>
      <c r="E484">
        <v>55</v>
      </c>
      <c r="F484" s="2" t="s">
        <v>13</v>
      </c>
      <c r="G484" s="2">
        <v>1</v>
      </c>
      <c r="H484" s="5">
        <v>30</v>
      </c>
      <c r="I484" s="5">
        <f t="shared" si="14"/>
        <v>30</v>
      </c>
      <c r="J484" s="2" t="str">
        <f>TEXT([1]retail_sales_cleaned_dataset!B484,"mmmm")</f>
        <v>June</v>
      </c>
      <c r="K484" s="2">
        <f>MONTH([1]retail_sales_cleaned_dataset!B484)</f>
        <v>6</v>
      </c>
      <c r="L484" s="2">
        <f>YEAR([1]retail_sales_cleaned_dataset!B484)</f>
        <v>2025</v>
      </c>
      <c r="M484" s="2" t="str">
        <f t="shared" si="15"/>
        <v>46+</v>
      </c>
    </row>
    <row r="485" spans="1:13" x14ac:dyDescent="0.25">
      <c r="A485" s="2">
        <v>484</v>
      </c>
      <c r="B485" s="1">
        <v>45830</v>
      </c>
      <c r="C485" t="s">
        <v>88</v>
      </c>
      <c r="D485" t="s">
        <v>9</v>
      </c>
      <c r="E485">
        <v>50</v>
      </c>
      <c r="F485" s="2" t="s">
        <v>13</v>
      </c>
      <c r="G485" s="2">
        <v>4</v>
      </c>
      <c r="H485" s="5">
        <v>300</v>
      </c>
      <c r="I485" s="5">
        <f t="shared" si="14"/>
        <v>1200</v>
      </c>
      <c r="J485" s="2" t="str">
        <f>TEXT([1]retail_sales_cleaned_dataset!B485,"mmmm")</f>
        <v>June</v>
      </c>
      <c r="K485" s="2">
        <f>MONTH([1]retail_sales_cleaned_dataset!B485)</f>
        <v>6</v>
      </c>
      <c r="L485" s="2">
        <f>YEAR([1]retail_sales_cleaned_dataset!B485)</f>
        <v>2025</v>
      </c>
      <c r="M485" s="2" t="str">
        <f t="shared" si="15"/>
        <v>46+</v>
      </c>
    </row>
    <row r="486" spans="1:13" x14ac:dyDescent="0.25">
      <c r="A486" s="2">
        <v>485</v>
      </c>
      <c r="B486" s="1">
        <v>45831</v>
      </c>
      <c r="C486" t="s">
        <v>364</v>
      </c>
      <c r="D486" t="s">
        <v>12</v>
      </c>
      <c r="E486">
        <v>54</v>
      </c>
      <c r="F486" s="2" t="s">
        <v>15</v>
      </c>
      <c r="G486" s="2">
        <v>1</v>
      </c>
      <c r="H486" s="5">
        <v>30</v>
      </c>
      <c r="I486" s="5">
        <f t="shared" si="14"/>
        <v>30</v>
      </c>
      <c r="J486" s="2" t="str">
        <f>TEXT([1]retail_sales_cleaned_dataset!B486,"mmmm")</f>
        <v>June</v>
      </c>
      <c r="K486" s="2">
        <f>MONTH([1]retail_sales_cleaned_dataset!B486)</f>
        <v>6</v>
      </c>
      <c r="L486" s="2">
        <f>YEAR([1]retail_sales_cleaned_dataset!B486)</f>
        <v>2025</v>
      </c>
      <c r="M486" s="2" t="str">
        <f t="shared" si="15"/>
        <v>46+</v>
      </c>
    </row>
    <row r="487" spans="1:13" x14ac:dyDescent="0.25">
      <c r="A487" s="2">
        <v>486</v>
      </c>
      <c r="B487" s="1">
        <v>45831</v>
      </c>
      <c r="C487" t="s">
        <v>151</v>
      </c>
      <c r="D487" t="s">
        <v>9</v>
      </c>
      <c r="E487">
        <v>44</v>
      </c>
      <c r="F487" s="2" t="s">
        <v>15</v>
      </c>
      <c r="G487" s="2">
        <v>1</v>
      </c>
      <c r="H487" s="5">
        <v>25</v>
      </c>
      <c r="I487" s="5">
        <f t="shared" si="14"/>
        <v>25</v>
      </c>
      <c r="J487" s="2" t="str">
        <f>TEXT([1]retail_sales_cleaned_dataset!B487,"mmmm")</f>
        <v>June</v>
      </c>
      <c r="K487" s="2">
        <f>MONTH([1]retail_sales_cleaned_dataset!B487)</f>
        <v>6</v>
      </c>
      <c r="L487" s="2">
        <f>YEAR([1]retail_sales_cleaned_dataset!B487)</f>
        <v>2025</v>
      </c>
      <c r="M487" s="2" t="str">
        <f t="shared" si="15"/>
        <v>36-45</v>
      </c>
    </row>
    <row r="488" spans="1:13" x14ac:dyDescent="0.25">
      <c r="A488" s="2">
        <v>487</v>
      </c>
      <c r="B488" s="1">
        <v>45832</v>
      </c>
      <c r="C488" t="s">
        <v>365</v>
      </c>
      <c r="D488" t="s">
        <v>9</v>
      </c>
      <c r="E488">
        <v>50</v>
      </c>
      <c r="F488" s="2" t="s">
        <v>13</v>
      </c>
      <c r="G488" s="2">
        <v>4</v>
      </c>
      <c r="H488" s="5">
        <v>500</v>
      </c>
      <c r="I488" s="5">
        <f t="shared" si="14"/>
        <v>2000</v>
      </c>
      <c r="J488" s="2" t="str">
        <f>TEXT([1]retail_sales_cleaned_dataset!B488,"mmmm")</f>
        <v>June</v>
      </c>
      <c r="K488" s="2">
        <f>MONTH([1]retail_sales_cleaned_dataset!B488)</f>
        <v>6</v>
      </c>
      <c r="L488" s="2">
        <f>YEAR([1]retail_sales_cleaned_dataset!B488)</f>
        <v>2025</v>
      </c>
      <c r="M488" s="2" t="str">
        <f t="shared" si="15"/>
        <v>46+</v>
      </c>
    </row>
    <row r="489" spans="1:13" x14ac:dyDescent="0.25">
      <c r="A489" s="2">
        <v>488</v>
      </c>
      <c r="B489" s="1">
        <v>45832</v>
      </c>
      <c r="C489" t="s">
        <v>270</v>
      </c>
      <c r="D489" t="s">
        <v>9</v>
      </c>
      <c r="E489">
        <v>21</v>
      </c>
      <c r="F489" s="2" t="s">
        <v>15</v>
      </c>
      <c r="G489" s="2">
        <v>3</v>
      </c>
      <c r="H489" s="5">
        <v>300</v>
      </c>
      <c r="I489" s="5">
        <f t="shared" si="14"/>
        <v>900</v>
      </c>
      <c r="J489" s="2" t="str">
        <f>TEXT([1]retail_sales_cleaned_dataset!B489,"mmmm")</f>
        <v>June</v>
      </c>
      <c r="K489" s="2">
        <f>MONTH([1]retail_sales_cleaned_dataset!B489)</f>
        <v>6</v>
      </c>
      <c r="L489" s="2">
        <f>YEAR([1]retail_sales_cleaned_dataset!B489)</f>
        <v>2025</v>
      </c>
      <c r="M489" s="2" t="str">
        <f t="shared" si="15"/>
        <v>18-25</v>
      </c>
    </row>
    <row r="490" spans="1:13" x14ac:dyDescent="0.25">
      <c r="A490" s="2">
        <v>489</v>
      </c>
      <c r="B490" s="1">
        <v>45832</v>
      </c>
      <c r="C490" t="s">
        <v>366</v>
      </c>
      <c r="D490" t="s">
        <v>9</v>
      </c>
      <c r="E490">
        <v>39</v>
      </c>
      <c r="F490" s="2" t="s">
        <v>15</v>
      </c>
      <c r="G490" s="2">
        <v>1</v>
      </c>
      <c r="H490" s="5">
        <v>30</v>
      </c>
      <c r="I490" s="5">
        <f t="shared" si="14"/>
        <v>30</v>
      </c>
      <c r="J490" s="2" t="str">
        <f>TEXT([1]retail_sales_cleaned_dataset!B490,"mmmm")</f>
        <v>June</v>
      </c>
      <c r="K490" s="2">
        <f>MONTH([1]retail_sales_cleaned_dataset!B490)</f>
        <v>6</v>
      </c>
      <c r="L490" s="2">
        <f>YEAR([1]retail_sales_cleaned_dataset!B490)</f>
        <v>2025</v>
      </c>
      <c r="M490" s="2" t="str">
        <f t="shared" si="15"/>
        <v>36-45</v>
      </c>
    </row>
    <row r="491" spans="1:13" x14ac:dyDescent="0.25">
      <c r="A491" s="2">
        <v>490</v>
      </c>
      <c r="B491" s="1">
        <v>45832</v>
      </c>
      <c r="C491" t="s">
        <v>25</v>
      </c>
      <c r="D491" t="s">
        <v>9</v>
      </c>
      <c r="E491">
        <v>19</v>
      </c>
      <c r="F491" s="2" t="s">
        <v>13</v>
      </c>
      <c r="G491" s="2">
        <v>3</v>
      </c>
      <c r="H491" s="5">
        <v>50</v>
      </c>
      <c r="I491" s="5">
        <f t="shared" si="14"/>
        <v>150</v>
      </c>
      <c r="J491" s="2" t="str">
        <f>TEXT([1]retail_sales_cleaned_dataset!B491,"mmmm")</f>
        <v>June</v>
      </c>
      <c r="K491" s="2">
        <f>MONTH([1]retail_sales_cleaned_dataset!B491)</f>
        <v>6</v>
      </c>
      <c r="L491" s="2">
        <f>YEAR([1]retail_sales_cleaned_dataset!B491)</f>
        <v>2025</v>
      </c>
      <c r="M491" s="2" t="str">
        <f t="shared" si="15"/>
        <v>18-25</v>
      </c>
    </row>
    <row r="492" spans="1:13" x14ac:dyDescent="0.25">
      <c r="A492" s="2">
        <v>491</v>
      </c>
      <c r="B492" s="1">
        <v>45832</v>
      </c>
      <c r="C492" t="s">
        <v>367</v>
      </c>
      <c r="D492" t="s">
        <v>9</v>
      </c>
      <c r="E492">
        <v>27</v>
      </c>
      <c r="F492" s="2" t="s">
        <v>15</v>
      </c>
      <c r="G492" s="2">
        <v>3</v>
      </c>
      <c r="H492" s="5">
        <v>300</v>
      </c>
      <c r="I492" s="5">
        <f t="shared" si="14"/>
        <v>900</v>
      </c>
      <c r="J492" s="2" t="str">
        <f>TEXT([1]retail_sales_cleaned_dataset!B492,"mmmm")</f>
        <v>June</v>
      </c>
      <c r="K492" s="2">
        <f>MONTH([1]retail_sales_cleaned_dataset!B492)</f>
        <v>6</v>
      </c>
      <c r="L492" s="2">
        <f>YEAR([1]retail_sales_cleaned_dataset!B492)</f>
        <v>2025</v>
      </c>
      <c r="M492" s="2" t="str">
        <f t="shared" si="15"/>
        <v>26-35</v>
      </c>
    </row>
    <row r="493" spans="1:13" x14ac:dyDescent="0.25">
      <c r="A493" s="2">
        <v>492</v>
      </c>
      <c r="B493" s="1">
        <v>45833</v>
      </c>
      <c r="C493" t="s">
        <v>125</v>
      </c>
      <c r="D493" t="s">
        <v>12</v>
      </c>
      <c r="E493">
        <v>22</v>
      </c>
      <c r="F493" s="2" t="s">
        <v>10</v>
      </c>
      <c r="G493" s="2">
        <v>4</v>
      </c>
      <c r="H493" s="5">
        <v>25</v>
      </c>
      <c r="I493" s="5">
        <f t="shared" si="14"/>
        <v>100</v>
      </c>
      <c r="J493" s="2" t="str">
        <f>TEXT([1]retail_sales_cleaned_dataset!B493,"mmmm")</f>
        <v>June</v>
      </c>
      <c r="K493" s="2">
        <f>MONTH([1]retail_sales_cleaned_dataset!B493)</f>
        <v>6</v>
      </c>
      <c r="L493" s="2">
        <f>YEAR([1]retail_sales_cleaned_dataset!B493)</f>
        <v>2025</v>
      </c>
      <c r="M493" s="2" t="str">
        <f t="shared" si="15"/>
        <v>18-25</v>
      </c>
    </row>
    <row r="494" spans="1:13" x14ac:dyDescent="0.25">
      <c r="A494" s="2">
        <v>493</v>
      </c>
      <c r="B494" s="1">
        <v>45834</v>
      </c>
      <c r="C494" t="s">
        <v>368</v>
      </c>
      <c r="D494" t="s">
        <v>12</v>
      </c>
      <c r="E494">
        <v>27</v>
      </c>
      <c r="F494" s="2" t="s">
        <v>10</v>
      </c>
      <c r="G494" s="2">
        <v>2</v>
      </c>
      <c r="H494" s="5">
        <v>25</v>
      </c>
      <c r="I494" s="5">
        <f t="shared" si="14"/>
        <v>50</v>
      </c>
      <c r="J494" s="2" t="str">
        <f>TEXT([1]retail_sales_cleaned_dataset!B494,"mmmm")</f>
        <v>June</v>
      </c>
      <c r="K494" s="2">
        <f>MONTH([1]retail_sales_cleaned_dataset!B494)</f>
        <v>6</v>
      </c>
      <c r="L494" s="2">
        <f>YEAR([1]retail_sales_cleaned_dataset!B494)</f>
        <v>2025</v>
      </c>
      <c r="M494" s="2" t="str">
        <f t="shared" si="15"/>
        <v>26-35</v>
      </c>
    </row>
    <row r="495" spans="1:13" x14ac:dyDescent="0.25">
      <c r="A495" s="2">
        <v>494</v>
      </c>
      <c r="B495" s="1">
        <v>45834</v>
      </c>
      <c r="C495" t="s">
        <v>217</v>
      </c>
      <c r="D495" t="s">
        <v>9</v>
      </c>
      <c r="E495">
        <v>50</v>
      </c>
      <c r="F495" s="2" t="s">
        <v>10</v>
      </c>
      <c r="G495" s="2">
        <v>4</v>
      </c>
      <c r="H495" s="5">
        <v>50</v>
      </c>
      <c r="I495" s="5">
        <f t="shared" si="14"/>
        <v>200</v>
      </c>
      <c r="J495" s="2" t="str">
        <f>TEXT([1]retail_sales_cleaned_dataset!B495,"mmmm")</f>
        <v>June</v>
      </c>
      <c r="K495" s="2">
        <f>MONTH([1]retail_sales_cleaned_dataset!B495)</f>
        <v>6</v>
      </c>
      <c r="L495" s="2">
        <f>YEAR([1]retail_sales_cleaned_dataset!B495)</f>
        <v>2025</v>
      </c>
      <c r="M495" s="2" t="str">
        <f t="shared" si="15"/>
        <v>46+</v>
      </c>
    </row>
    <row r="496" spans="1:13" x14ac:dyDescent="0.25">
      <c r="A496" s="2">
        <v>495</v>
      </c>
      <c r="B496" s="1">
        <v>45834</v>
      </c>
      <c r="C496" t="s">
        <v>369</v>
      </c>
      <c r="D496" t="s">
        <v>12</v>
      </c>
      <c r="E496">
        <v>55</v>
      </c>
      <c r="F496" s="2" t="s">
        <v>10</v>
      </c>
      <c r="G496" s="2">
        <v>2</v>
      </c>
      <c r="H496" s="5">
        <v>30</v>
      </c>
      <c r="I496" s="5">
        <f t="shared" si="14"/>
        <v>60</v>
      </c>
      <c r="J496" s="2" t="str">
        <f>TEXT([1]retail_sales_cleaned_dataset!B496,"mmmm")</f>
        <v>June</v>
      </c>
      <c r="K496" s="2">
        <f>MONTH([1]retail_sales_cleaned_dataset!B496)</f>
        <v>6</v>
      </c>
      <c r="L496" s="2">
        <f>YEAR([1]retail_sales_cleaned_dataset!B496)</f>
        <v>2025</v>
      </c>
      <c r="M496" s="2" t="str">
        <f t="shared" si="15"/>
        <v>46+</v>
      </c>
    </row>
    <row r="497" spans="1:13" x14ac:dyDescent="0.25">
      <c r="A497" s="2">
        <v>496</v>
      </c>
      <c r="B497" s="1">
        <v>45835</v>
      </c>
      <c r="C497" t="s">
        <v>317</v>
      </c>
      <c r="D497" t="s">
        <v>12</v>
      </c>
      <c r="E497">
        <v>30</v>
      </c>
      <c r="F497" s="2" t="s">
        <v>13</v>
      </c>
      <c r="G497" s="2">
        <v>2</v>
      </c>
      <c r="H497" s="5">
        <v>300</v>
      </c>
      <c r="I497" s="5">
        <f t="shared" si="14"/>
        <v>600</v>
      </c>
      <c r="J497" s="2" t="str">
        <f>TEXT([1]retail_sales_cleaned_dataset!B497,"mmmm")</f>
        <v>June</v>
      </c>
      <c r="K497" s="2">
        <f>MONTH([1]retail_sales_cleaned_dataset!B497)</f>
        <v>6</v>
      </c>
      <c r="L497" s="2">
        <f>YEAR([1]retail_sales_cleaned_dataset!B497)</f>
        <v>2025</v>
      </c>
      <c r="M497" s="2" t="str">
        <f t="shared" si="15"/>
        <v>26-35</v>
      </c>
    </row>
    <row r="498" spans="1:13" x14ac:dyDescent="0.25">
      <c r="A498" s="2">
        <v>497</v>
      </c>
      <c r="B498" s="1">
        <v>45836</v>
      </c>
      <c r="C498" t="s">
        <v>370</v>
      </c>
      <c r="D498" t="s">
        <v>12</v>
      </c>
      <c r="E498">
        <v>48</v>
      </c>
      <c r="F498" s="2" t="s">
        <v>13</v>
      </c>
      <c r="G498" s="2">
        <v>4</v>
      </c>
      <c r="H498" s="5">
        <v>30</v>
      </c>
      <c r="I498" s="5">
        <f t="shared" si="14"/>
        <v>120</v>
      </c>
      <c r="J498" s="2" t="str">
        <f>TEXT([1]retail_sales_cleaned_dataset!B498,"mmmm")</f>
        <v>June</v>
      </c>
      <c r="K498" s="2">
        <f>MONTH([1]retail_sales_cleaned_dataset!B498)</f>
        <v>6</v>
      </c>
      <c r="L498" s="2">
        <f>YEAR([1]retail_sales_cleaned_dataset!B498)</f>
        <v>2025</v>
      </c>
      <c r="M498" s="2" t="str">
        <f t="shared" si="15"/>
        <v>46+</v>
      </c>
    </row>
    <row r="499" spans="1:13" x14ac:dyDescent="0.25">
      <c r="A499" s="2">
        <v>498</v>
      </c>
      <c r="B499" s="1">
        <v>45837</v>
      </c>
      <c r="C499" t="s">
        <v>41</v>
      </c>
      <c r="D499" t="s">
        <v>12</v>
      </c>
      <c r="E499">
        <v>64</v>
      </c>
      <c r="F499" s="2" t="s">
        <v>13</v>
      </c>
      <c r="G499" s="2">
        <v>4</v>
      </c>
      <c r="H499" s="5">
        <v>25</v>
      </c>
      <c r="I499" s="5">
        <f t="shared" si="14"/>
        <v>100</v>
      </c>
      <c r="J499" s="2" t="str">
        <f>TEXT([1]retail_sales_cleaned_dataset!B499,"mmmm")</f>
        <v>June</v>
      </c>
      <c r="K499" s="2">
        <f>MONTH([1]retail_sales_cleaned_dataset!B499)</f>
        <v>6</v>
      </c>
      <c r="L499" s="2">
        <f>YEAR([1]retail_sales_cleaned_dataset!B499)</f>
        <v>2025</v>
      </c>
      <c r="M499" s="2" t="str">
        <f t="shared" si="15"/>
        <v>46+</v>
      </c>
    </row>
    <row r="500" spans="1:13" x14ac:dyDescent="0.25">
      <c r="A500" s="2">
        <v>499</v>
      </c>
      <c r="B500" s="1">
        <v>45837</v>
      </c>
      <c r="C500" t="s">
        <v>371</v>
      </c>
      <c r="D500" t="s">
        <v>9</v>
      </c>
      <c r="E500">
        <v>53</v>
      </c>
      <c r="F500" s="2" t="s">
        <v>10</v>
      </c>
      <c r="G500" s="2">
        <v>2</v>
      </c>
      <c r="H500" s="5">
        <v>30</v>
      </c>
      <c r="I500" s="5">
        <f t="shared" si="14"/>
        <v>60</v>
      </c>
      <c r="J500" s="2" t="str">
        <f>TEXT([1]retail_sales_cleaned_dataset!B500,"mmmm")</f>
        <v>June</v>
      </c>
      <c r="K500" s="2">
        <f>MONTH([1]retail_sales_cleaned_dataset!B500)</f>
        <v>6</v>
      </c>
      <c r="L500" s="2">
        <f>YEAR([1]retail_sales_cleaned_dataset!B500)</f>
        <v>2025</v>
      </c>
      <c r="M500" s="2" t="str">
        <f t="shared" si="15"/>
        <v>46+</v>
      </c>
    </row>
    <row r="501" spans="1:13" x14ac:dyDescent="0.25">
      <c r="A501" s="2">
        <v>500</v>
      </c>
      <c r="B501" s="1">
        <v>45837</v>
      </c>
      <c r="C501" t="s">
        <v>126</v>
      </c>
      <c r="D501" t="s">
        <v>12</v>
      </c>
      <c r="E501">
        <v>62</v>
      </c>
      <c r="F501" s="2" t="s">
        <v>10</v>
      </c>
      <c r="G501" s="2">
        <v>4</v>
      </c>
      <c r="H501" s="5">
        <v>25</v>
      </c>
      <c r="I501" s="5">
        <f t="shared" si="14"/>
        <v>100</v>
      </c>
      <c r="J501" s="2" t="str">
        <f>TEXT([1]retail_sales_cleaned_dataset!B501,"mmmm")</f>
        <v>June</v>
      </c>
      <c r="K501" s="2">
        <f>MONTH([1]retail_sales_cleaned_dataset!B501)</f>
        <v>6</v>
      </c>
      <c r="L501" s="2">
        <f>YEAR([1]retail_sales_cleaned_dataset!B501)</f>
        <v>2025</v>
      </c>
      <c r="M501" s="2" t="str">
        <f t="shared" si="15"/>
        <v>46+</v>
      </c>
    </row>
    <row r="502" spans="1:13" x14ac:dyDescent="0.25">
      <c r="A502" s="2">
        <v>501</v>
      </c>
      <c r="B502" s="1">
        <v>45838</v>
      </c>
      <c r="C502" t="s">
        <v>372</v>
      </c>
      <c r="D502" t="s">
        <v>12</v>
      </c>
      <c r="E502">
        <v>41</v>
      </c>
      <c r="F502" s="2" t="s">
        <v>15</v>
      </c>
      <c r="G502" s="2">
        <v>2</v>
      </c>
      <c r="H502" s="5">
        <v>30</v>
      </c>
      <c r="I502" s="5">
        <f t="shared" si="14"/>
        <v>60</v>
      </c>
      <c r="J502" s="2" t="str">
        <f>TEXT([1]retail_sales_cleaned_dataset!B502,"mmmm")</f>
        <v>June</v>
      </c>
      <c r="K502" s="2">
        <f>MONTH([1]retail_sales_cleaned_dataset!B502)</f>
        <v>6</v>
      </c>
      <c r="L502" s="2">
        <f>YEAR([1]retail_sales_cleaned_dataset!B502)</f>
        <v>2025</v>
      </c>
      <c r="M502" s="2" t="str">
        <f t="shared" si="15"/>
        <v>36-45</v>
      </c>
    </row>
    <row r="503" spans="1:13" x14ac:dyDescent="0.25">
      <c r="A503" s="2">
        <v>502</v>
      </c>
      <c r="B503" s="1">
        <v>45838</v>
      </c>
      <c r="C503" t="s">
        <v>224</v>
      </c>
      <c r="D503" t="s">
        <v>9</v>
      </c>
      <c r="E503">
        <v>32</v>
      </c>
      <c r="F503" s="2" t="s">
        <v>15</v>
      </c>
      <c r="G503" s="2">
        <v>3</v>
      </c>
      <c r="H503" s="5">
        <v>50</v>
      </c>
      <c r="I503" s="5">
        <f t="shared" si="14"/>
        <v>150</v>
      </c>
      <c r="J503" s="2" t="str">
        <f>TEXT([1]retail_sales_cleaned_dataset!B503,"mmmm")</f>
        <v>June</v>
      </c>
      <c r="K503" s="2">
        <f>MONTH([1]retail_sales_cleaned_dataset!B503)</f>
        <v>6</v>
      </c>
      <c r="L503" s="2">
        <f>YEAR([1]retail_sales_cleaned_dataset!B503)</f>
        <v>2025</v>
      </c>
      <c r="M503" s="2" t="str">
        <f t="shared" si="15"/>
        <v>26-35</v>
      </c>
    </row>
    <row r="504" spans="1:13" x14ac:dyDescent="0.25">
      <c r="A504" s="2">
        <v>503</v>
      </c>
      <c r="B504" s="1">
        <v>45839</v>
      </c>
      <c r="C504" t="s">
        <v>373</v>
      </c>
      <c r="D504" t="s">
        <v>9</v>
      </c>
      <c r="E504">
        <v>46</v>
      </c>
      <c r="F504" s="2" t="s">
        <v>10</v>
      </c>
      <c r="G504" s="2">
        <v>4</v>
      </c>
      <c r="H504" s="5">
        <v>500</v>
      </c>
      <c r="I504" s="5">
        <f t="shared" si="14"/>
        <v>2000</v>
      </c>
      <c r="J504" s="2" t="str">
        <f>TEXT([1]retail_sales_cleaned_dataset!B504,"mmmm")</f>
        <v>July</v>
      </c>
      <c r="K504" s="2">
        <f>MONTH([1]retail_sales_cleaned_dataset!B504)</f>
        <v>7</v>
      </c>
      <c r="L504" s="2">
        <f>YEAR([1]retail_sales_cleaned_dataset!B504)</f>
        <v>2025</v>
      </c>
      <c r="M504" s="2" t="str">
        <f t="shared" si="15"/>
        <v>46+</v>
      </c>
    </row>
    <row r="505" spans="1:13" x14ac:dyDescent="0.25">
      <c r="A505" s="2">
        <v>504</v>
      </c>
      <c r="B505" s="1">
        <v>45839</v>
      </c>
      <c r="C505" t="s">
        <v>321</v>
      </c>
      <c r="D505" t="s">
        <v>12</v>
      </c>
      <c r="E505">
        <v>25</v>
      </c>
      <c r="F505" s="2" t="s">
        <v>10</v>
      </c>
      <c r="G505" s="2">
        <v>3</v>
      </c>
      <c r="H505" s="5">
        <v>50</v>
      </c>
      <c r="I505" s="5">
        <f t="shared" si="14"/>
        <v>150</v>
      </c>
      <c r="J505" s="2" t="str">
        <f>TEXT([1]retail_sales_cleaned_dataset!B505,"mmmm")</f>
        <v>July</v>
      </c>
      <c r="K505" s="2">
        <f>MONTH([1]retail_sales_cleaned_dataset!B505)</f>
        <v>7</v>
      </c>
      <c r="L505" s="2">
        <f>YEAR([1]retail_sales_cleaned_dataset!B505)</f>
        <v>2025</v>
      </c>
      <c r="M505" s="2" t="str">
        <f t="shared" si="15"/>
        <v>18-25</v>
      </c>
    </row>
    <row r="506" spans="1:13" x14ac:dyDescent="0.25">
      <c r="A506" s="2">
        <v>505</v>
      </c>
      <c r="B506" s="1">
        <v>45839</v>
      </c>
      <c r="C506" t="s">
        <v>374</v>
      </c>
      <c r="D506" t="s">
        <v>12</v>
      </c>
      <c r="E506">
        <v>22</v>
      </c>
      <c r="F506" s="2" t="s">
        <v>10</v>
      </c>
      <c r="G506" s="2">
        <v>1</v>
      </c>
      <c r="H506" s="5">
        <v>50</v>
      </c>
      <c r="I506" s="5">
        <f t="shared" si="14"/>
        <v>50</v>
      </c>
      <c r="J506" s="2" t="str">
        <f>TEXT([1]retail_sales_cleaned_dataset!B506,"mmmm")</f>
        <v>July</v>
      </c>
      <c r="K506" s="2">
        <f>MONTH([1]retail_sales_cleaned_dataset!B506)</f>
        <v>7</v>
      </c>
      <c r="L506" s="2">
        <f>YEAR([1]retail_sales_cleaned_dataset!B506)</f>
        <v>2025</v>
      </c>
      <c r="M506" s="2" t="str">
        <f t="shared" si="15"/>
        <v>18-25</v>
      </c>
    </row>
    <row r="507" spans="1:13" x14ac:dyDescent="0.25">
      <c r="A507" s="2">
        <v>506</v>
      </c>
      <c r="B507" s="1">
        <v>45839</v>
      </c>
      <c r="C507" t="s">
        <v>375</v>
      </c>
      <c r="D507" t="s">
        <v>12</v>
      </c>
      <c r="E507">
        <v>46</v>
      </c>
      <c r="F507" s="2" t="s">
        <v>10</v>
      </c>
      <c r="G507" s="2">
        <v>5</v>
      </c>
      <c r="H507" s="5">
        <v>500</v>
      </c>
      <c r="I507" s="5">
        <f t="shared" si="14"/>
        <v>2500</v>
      </c>
      <c r="J507" s="2" t="str">
        <f>TEXT([1]retail_sales_cleaned_dataset!B507,"mmmm")</f>
        <v>July</v>
      </c>
      <c r="K507" s="2">
        <f>MONTH([1]retail_sales_cleaned_dataset!B507)</f>
        <v>7</v>
      </c>
      <c r="L507" s="2">
        <f>YEAR([1]retail_sales_cleaned_dataset!B507)</f>
        <v>2025</v>
      </c>
      <c r="M507" s="2" t="str">
        <f t="shared" si="15"/>
        <v>46+</v>
      </c>
    </row>
    <row r="508" spans="1:13" x14ac:dyDescent="0.25">
      <c r="A508" s="2">
        <v>507</v>
      </c>
      <c r="B508" s="1">
        <v>45841</v>
      </c>
      <c r="C508" t="s">
        <v>376</v>
      </c>
      <c r="D508" t="s">
        <v>12</v>
      </c>
      <c r="E508">
        <v>64</v>
      </c>
      <c r="F508" s="2" t="s">
        <v>15</v>
      </c>
      <c r="G508" s="2">
        <v>3</v>
      </c>
      <c r="H508" s="5">
        <v>500</v>
      </c>
      <c r="I508" s="5">
        <f t="shared" si="14"/>
        <v>1500</v>
      </c>
      <c r="J508" s="2" t="str">
        <f>TEXT([1]retail_sales_cleaned_dataset!B508,"mmmm")</f>
        <v>July</v>
      </c>
      <c r="K508" s="2">
        <f>MONTH([1]retail_sales_cleaned_dataset!B508)</f>
        <v>7</v>
      </c>
      <c r="L508" s="2">
        <f>YEAR([1]retail_sales_cleaned_dataset!B508)</f>
        <v>2025</v>
      </c>
      <c r="M508" s="2" t="str">
        <f t="shared" si="15"/>
        <v>46+</v>
      </c>
    </row>
    <row r="509" spans="1:13" x14ac:dyDescent="0.25">
      <c r="A509" s="2">
        <v>508</v>
      </c>
      <c r="B509" s="1">
        <v>45841</v>
      </c>
      <c r="C509" t="s">
        <v>377</v>
      </c>
      <c r="D509" t="s">
        <v>12</v>
      </c>
      <c r="E509">
        <v>21</v>
      </c>
      <c r="F509" s="2" t="s">
        <v>10</v>
      </c>
      <c r="G509" s="2">
        <v>2</v>
      </c>
      <c r="H509" s="5">
        <v>300</v>
      </c>
      <c r="I509" s="5">
        <f t="shared" si="14"/>
        <v>600</v>
      </c>
      <c r="J509" s="2" t="str">
        <f>TEXT([1]retail_sales_cleaned_dataset!B509,"mmmm")</f>
        <v>July</v>
      </c>
      <c r="K509" s="2">
        <f>MONTH([1]retail_sales_cleaned_dataset!B509)</f>
        <v>7</v>
      </c>
      <c r="L509" s="2">
        <f>YEAR([1]retail_sales_cleaned_dataset!B509)</f>
        <v>2025</v>
      </c>
      <c r="M509" s="2" t="str">
        <f t="shared" si="15"/>
        <v>18-25</v>
      </c>
    </row>
    <row r="510" spans="1:13" x14ac:dyDescent="0.25">
      <c r="A510" s="2">
        <v>509</v>
      </c>
      <c r="B510" s="1">
        <v>45842</v>
      </c>
      <c r="C510" t="s">
        <v>378</v>
      </c>
      <c r="D510" t="s">
        <v>12</v>
      </c>
      <c r="E510">
        <v>29</v>
      </c>
      <c r="F510" s="2" t="s">
        <v>15</v>
      </c>
      <c r="G510" s="2">
        <v>3</v>
      </c>
      <c r="H510" s="5">
        <v>300</v>
      </c>
      <c r="I510" s="5">
        <f t="shared" si="14"/>
        <v>900</v>
      </c>
      <c r="J510" s="2" t="str">
        <f>TEXT([1]retail_sales_cleaned_dataset!B510,"mmmm")</f>
        <v>July</v>
      </c>
      <c r="K510" s="2">
        <f>MONTH([1]retail_sales_cleaned_dataset!B510)</f>
        <v>7</v>
      </c>
      <c r="L510" s="2">
        <f>YEAR([1]retail_sales_cleaned_dataset!B510)</f>
        <v>2025</v>
      </c>
      <c r="M510" s="2" t="str">
        <f t="shared" si="15"/>
        <v>26-35</v>
      </c>
    </row>
    <row r="511" spans="1:13" x14ac:dyDescent="0.25">
      <c r="A511" s="2">
        <v>510</v>
      </c>
      <c r="B511" s="1">
        <v>45843</v>
      </c>
      <c r="C511" t="s">
        <v>379</v>
      </c>
      <c r="D511" t="s">
        <v>9</v>
      </c>
      <c r="E511">
        <v>62</v>
      </c>
      <c r="F511" s="2" t="s">
        <v>10</v>
      </c>
      <c r="G511" s="2">
        <v>4</v>
      </c>
      <c r="H511" s="5">
        <v>50</v>
      </c>
      <c r="I511" s="5">
        <f t="shared" si="14"/>
        <v>200</v>
      </c>
      <c r="J511" s="2" t="str">
        <f>TEXT([1]retail_sales_cleaned_dataset!B511,"mmmm")</f>
        <v>July</v>
      </c>
      <c r="K511" s="2">
        <f>MONTH([1]retail_sales_cleaned_dataset!B511)</f>
        <v>7</v>
      </c>
      <c r="L511" s="2">
        <f>YEAR([1]retail_sales_cleaned_dataset!B511)</f>
        <v>2025</v>
      </c>
      <c r="M511" s="2" t="str">
        <f t="shared" si="15"/>
        <v>46+</v>
      </c>
    </row>
    <row r="512" spans="1:13" x14ac:dyDescent="0.25">
      <c r="A512" s="2">
        <v>511</v>
      </c>
      <c r="B512" s="1">
        <v>45843</v>
      </c>
      <c r="C512" t="s">
        <v>380</v>
      </c>
      <c r="D512" t="s">
        <v>12</v>
      </c>
      <c r="E512">
        <v>19</v>
      </c>
      <c r="F512" s="2" t="s">
        <v>10</v>
      </c>
      <c r="G512" s="2">
        <v>2</v>
      </c>
      <c r="H512" s="5">
        <v>50</v>
      </c>
      <c r="I512" s="5">
        <f t="shared" si="14"/>
        <v>100</v>
      </c>
      <c r="J512" s="2" t="str">
        <f>TEXT([1]retail_sales_cleaned_dataset!B512,"mmmm")</f>
        <v>July</v>
      </c>
      <c r="K512" s="2">
        <f>MONTH([1]retail_sales_cleaned_dataset!B512)</f>
        <v>7</v>
      </c>
      <c r="L512" s="2">
        <f>YEAR([1]retail_sales_cleaned_dataset!B512)</f>
        <v>2025</v>
      </c>
      <c r="M512" s="2" t="str">
        <f t="shared" si="15"/>
        <v>18-25</v>
      </c>
    </row>
    <row r="513" spans="1:13" x14ac:dyDescent="0.25">
      <c r="A513" s="2">
        <v>512</v>
      </c>
      <c r="B513" s="1">
        <v>45843</v>
      </c>
      <c r="C513" t="s">
        <v>381</v>
      </c>
      <c r="D513" t="s">
        <v>12</v>
      </c>
      <c r="E513">
        <v>25</v>
      </c>
      <c r="F513" s="2" t="s">
        <v>10</v>
      </c>
      <c r="G513" s="2">
        <v>1</v>
      </c>
      <c r="H513" s="5">
        <v>25</v>
      </c>
      <c r="I513" s="5">
        <f t="shared" si="14"/>
        <v>25</v>
      </c>
      <c r="J513" s="2" t="str">
        <f>TEXT([1]retail_sales_cleaned_dataset!B513,"mmmm")</f>
        <v>July</v>
      </c>
      <c r="K513" s="2">
        <f>MONTH([1]retail_sales_cleaned_dataset!B513)</f>
        <v>7</v>
      </c>
      <c r="L513" s="2">
        <f>YEAR([1]retail_sales_cleaned_dataset!B513)</f>
        <v>2025</v>
      </c>
      <c r="M513" s="2" t="str">
        <f t="shared" si="15"/>
        <v>18-25</v>
      </c>
    </row>
    <row r="514" spans="1:13" x14ac:dyDescent="0.25">
      <c r="A514" s="2">
        <v>513</v>
      </c>
      <c r="B514" s="1">
        <v>45843</v>
      </c>
      <c r="C514" t="s">
        <v>382</v>
      </c>
      <c r="D514" t="s">
        <v>9</v>
      </c>
      <c r="E514">
        <v>49</v>
      </c>
      <c r="F514" s="2" t="s">
        <v>15</v>
      </c>
      <c r="G514" s="2">
        <v>4</v>
      </c>
      <c r="H514" s="5">
        <v>25</v>
      </c>
      <c r="I514" s="5">
        <f t="shared" ref="I514:I577" si="16">G514*H514</f>
        <v>100</v>
      </c>
      <c r="J514" s="2" t="str">
        <f>TEXT([1]retail_sales_cleaned_dataset!B514,"mmmm")</f>
        <v>July</v>
      </c>
      <c r="K514" s="2">
        <f>MONTH([1]retail_sales_cleaned_dataset!B514)</f>
        <v>7</v>
      </c>
      <c r="L514" s="2">
        <f>YEAR([1]retail_sales_cleaned_dataset!B514)</f>
        <v>2025</v>
      </c>
      <c r="M514" s="2" t="str">
        <f t="shared" ref="M514:M577" si="17">IF(E514&lt;=25,"18-25",IF(E514&lt;=35,"26-35",IF(E514&lt;=45,"36-45","46+")))</f>
        <v>46+</v>
      </c>
    </row>
    <row r="515" spans="1:13" x14ac:dyDescent="0.25">
      <c r="A515" s="2">
        <v>514</v>
      </c>
      <c r="B515" s="1">
        <v>45844</v>
      </c>
      <c r="C515" t="s">
        <v>383</v>
      </c>
      <c r="D515" t="s">
        <v>9</v>
      </c>
      <c r="E515">
        <v>31</v>
      </c>
      <c r="F515" s="2" t="s">
        <v>15</v>
      </c>
      <c r="G515" s="2">
        <v>1</v>
      </c>
      <c r="H515" s="5">
        <v>300</v>
      </c>
      <c r="I515" s="5">
        <f t="shared" si="16"/>
        <v>300</v>
      </c>
      <c r="J515" s="2" t="str">
        <f>TEXT([1]retail_sales_cleaned_dataset!B515,"mmmm")</f>
        <v>July</v>
      </c>
      <c r="K515" s="2">
        <f>MONTH([1]retail_sales_cleaned_dataset!B515)</f>
        <v>7</v>
      </c>
      <c r="L515" s="2">
        <f>YEAR([1]retail_sales_cleaned_dataset!B515)</f>
        <v>2025</v>
      </c>
      <c r="M515" s="2" t="str">
        <f t="shared" si="17"/>
        <v>26-35</v>
      </c>
    </row>
    <row r="516" spans="1:13" x14ac:dyDescent="0.25">
      <c r="A516" s="2">
        <v>515</v>
      </c>
      <c r="B516" s="1">
        <v>45844</v>
      </c>
      <c r="C516" t="s">
        <v>384</v>
      </c>
      <c r="D516" t="s">
        <v>9</v>
      </c>
      <c r="E516">
        <v>60</v>
      </c>
      <c r="F516" s="2" t="s">
        <v>13</v>
      </c>
      <c r="G516" s="2">
        <v>3</v>
      </c>
      <c r="H516" s="5">
        <v>300</v>
      </c>
      <c r="I516" s="5">
        <f t="shared" si="16"/>
        <v>900</v>
      </c>
      <c r="J516" s="2" t="str">
        <f>TEXT([1]retail_sales_cleaned_dataset!B516,"mmmm")</f>
        <v>July</v>
      </c>
      <c r="K516" s="2">
        <f>MONTH([1]retail_sales_cleaned_dataset!B516)</f>
        <v>7</v>
      </c>
      <c r="L516" s="2">
        <f>YEAR([1]retail_sales_cleaned_dataset!B516)</f>
        <v>2025</v>
      </c>
      <c r="M516" s="2" t="str">
        <f t="shared" si="17"/>
        <v>46+</v>
      </c>
    </row>
    <row r="517" spans="1:13" x14ac:dyDescent="0.25">
      <c r="A517" s="2">
        <v>516</v>
      </c>
      <c r="B517" s="1">
        <v>45844</v>
      </c>
      <c r="C517" t="s">
        <v>385</v>
      </c>
      <c r="D517" t="s">
        <v>12</v>
      </c>
      <c r="E517">
        <v>54</v>
      </c>
      <c r="F517" s="2" t="s">
        <v>10</v>
      </c>
      <c r="G517" s="2">
        <v>4</v>
      </c>
      <c r="H517" s="5">
        <v>25</v>
      </c>
      <c r="I517" s="5">
        <f t="shared" si="16"/>
        <v>100</v>
      </c>
      <c r="J517" s="2" t="str">
        <f>TEXT([1]retail_sales_cleaned_dataset!B517,"mmmm")</f>
        <v>July</v>
      </c>
      <c r="K517" s="2">
        <f>MONTH([1]retail_sales_cleaned_dataset!B517)</f>
        <v>7</v>
      </c>
      <c r="L517" s="2">
        <f>YEAR([1]retail_sales_cleaned_dataset!B517)</f>
        <v>2025</v>
      </c>
      <c r="M517" s="2" t="str">
        <f t="shared" si="17"/>
        <v>46+</v>
      </c>
    </row>
    <row r="518" spans="1:13" x14ac:dyDescent="0.25">
      <c r="A518" s="2">
        <v>517</v>
      </c>
      <c r="B518" s="1">
        <v>45846</v>
      </c>
      <c r="C518" t="s">
        <v>386</v>
      </c>
      <c r="D518" t="s">
        <v>12</v>
      </c>
      <c r="E518">
        <v>31</v>
      </c>
      <c r="F518" s="2" t="s">
        <v>13</v>
      </c>
      <c r="G518" s="2">
        <v>4</v>
      </c>
      <c r="H518" s="5">
        <v>25</v>
      </c>
      <c r="I518" s="5">
        <f t="shared" si="16"/>
        <v>100</v>
      </c>
      <c r="J518" s="2" t="str">
        <f>TEXT([1]retail_sales_cleaned_dataset!B518,"mmmm")</f>
        <v>July</v>
      </c>
      <c r="K518" s="2">
        <f>MONTH([1]retail_sales_cleaned_dataset!B518)</f>
        <v>7</v>
      </c>
      <c r="L518" s="2">
        <f>YEAR([1]retail_sales_cleaned_dataset!B518)</f>
        <v>2025</v>
      </c>
      <c r="M518" s="2" t="str">
        <f t="shared" si="17"/>
        <v>26-35</v>
      </c>
    </row>
    <row r="519" spans="1:13" x14ac:dyDescent="0.25">
      <c r="A519" s="2">
        <v>518</v>
      </c>
      <c r="B519" s="1">
        <v>45846</v>
      </c>
      <c r="C519" t="s">
        <v>106</v>
      </c>
      <c r="D519" t="s">
        <v>9</v>
      </c>
      <c r="E519">
        <v>35</v>
      </c>
      <c r="F519" s="2" t="s">
        <v>13</v>
      </c>
      <c r="G519" s="2">
        <v>1</v>
      </c>
      <c r="H519" s="5">
        <v>30</v>
      </c>
      <c r="I519" s="5">
        <f t="shared" si="16"/>
        <v>30</v>
      </c>
      <c r="J519" s="2" t="str">
        <f>TEXT([1]retail_sales_cleaned_dataset!B519,"mmmm")</f>
        <v>July</v>
      </c>
      <c r="K519" s="2">
        <f>MONTH([1]retail_sales_cleaned_dataset!B519)</f>
        <v>7</v>
      </c>
      <c r="L519" s="2">
        <f>YEAR([1]retail_sales_cleaned_dataset!B519)</f>
        <v>2025</v>
      </c>
      <c r="M519" s="2" t="str">
        <f t="shared" si="17"/>
        <v>26-35</v>
      </c>
    </row>
    <row r="520" spans="1:13" x14ac:dyDescent="0.25">
      <c r="A520" s="2">
        <v>519</v>
      </c>
      <c r="B520" s="1">
        <v>45847</v>
      </c>
      <c r="C520" t="s">
        <v>387</v>
      </c>
      <c r="D520" t="s">
        <v>12</v>
      </c>
      <c r="E520">
        <v>24</v>
      </c>
      <c r="F520" s="2" t="s">
        <v>15</v>
      </c>
      <c r="G520" s="2">
        <v>4</v>
      </c>
      <c r="H520" s="5">
        <v>30</v>
      </c>
      <c r="I520" s="5">
        <f t="shared" si="16"/>
        <v>120</v>
      </c>
      <c r="J520" s="2" t="str">
        <f>TEXT([1]retail_sales_cleaned_dataset!B520,"mmmm")</f>
        <v>July</v>
      </c>
      <c r="K520" s="2">
        <f>MONTH([1]retail_sales_cleaned_dataset!B520)</f>
        <v>7</v>
      </c>
      <c r="L520" s="2">
        <f>YEAR([1]retail_sales_cleaned_dataset!B520)</f>
        <v>2025</v>
      </c>
      <c r="M520" s="2" t="str">
        <f t="shared" si="17"/>
        <v>18-25</v>
      </c>
    </row>
    <row r="521" spans="1:13" x14ac:dyDescent="0.25">
      <c r="A521" s="2">
        <v>520</v>
      </c>
      <c r="B521" s="1">
        <v>45847</v>
      </c>
      <c r="C521" t="s">
        <v>173</v>
      </c>
      <c r="D521" t="s">
        <v>9</v>
      </c>
      <c r="E521">
        <v>36</v>
      </c>
      <c r="F521" s="2" t="s">
        <v>15</v>
      </c>
      <c r="G521" s="2">
        <v>4</v>
      </c>
      <c r="H521" s="5">
        <v>25</v>
      </c>
      <c r="I521" s="5">
        <f t="shared" si="16"/>
        <v>100</v>
      </c>
      <c r="J521" s="2" t="str">
        <f>TEXT([1]retail_sales_cleaned_dataset!B521,"mmmm")</f>
        <v>July</v>
      </c>
      <c r="K521" s="2">
        <f>MONTH([1]retail_sales_cleaned_dataset!B521)</f>
        <v>7</v>
      </c>
      <c r="L521" s="2">
        <f>YEAR([1]retail_sales_cleaned_dataset!B521)</f>
        <v>2025</v>
      </c>
      <c r="M521" s="2" t="str">
        <f t="shared" si="17"/>
        <v>36-45</v>
      </c>
    </row>
    <row r="522" spans="1:13" x14ac:dyDescent="0.25">
      <c r="A522" s="2">
        <v>521</v>
      </c>
      <c r="B522" s="1">
        <v>45847</v>
      </c>
      <c r="C522" t="s">
        <v>388</v>
      </c>
      <c r="D522" t="s">
        <v>12</v>
      </c>
      <c r="E522">
        <v>18</v>
      </c>
      <c r="F522" s="2" t="s">
        <v>13</v>
      </c>
      <c r="G522" s="2">
        <v>4</v>
      </c>
      <c r="H522" s="5">
        <v>30</v>
      </c>
      <c r="I522" s="5">
        <f t="shared" si="16"/>
        <v>120</v>
      </c>
      <c r="J522" s="2" t="str">
        <f>TEXT([1]retail_sales_cleaned_dataset!B522,"mmmm")</f>
        <v>July</v>
      </c>
      <c r="K522" s="2">
        <f>MONTH([1]retail_sales_cleaned_dataset!B522)</f>
        <v>7</v>
      </c>
      <c r="L522" s="2">
        <f>YEAR([1]retail_sales_cleaned_dataset!B522)</f>
        <v>2025</v>
      </c>
      <c r="M522" s="2" t="str">
        <f t="shared" si="17"/>
        <v>18-25</v>
      </c>
    </row>
    <row r="523" spans="1:13" x14ac:dyDescent="0.25">
      <c r="A523" s="2">
        <v>522</v>
      </c>
      <c r="B523" s="1">
        <v>45847</v>
      </c>
      <c r="C523" t="s">
        <v>272</v>
      </c>
      <c r="D523" t="s">
        <v>9</v>
      </c>
      <c r="E523">
        <v>19</v>
      </c>
      <c r="F523" s="2" t="s">
        <v>10</v>
      </c>
      <c r="G523" s="2">
        <v>3</v>
      </c>
      <c r="H523" s="5">
        <v>500</v>
      </c>
      <c r="I523" s="5">
        <f t="shared" si="16"/>
        <v>1500</v>
      </c>
      <c r="J523" s="2" t="str">
        <f>TEXT([1]retail_sales_cleaned_dataset!B523,"mmmm")</f>
        <v>July</v>
      </c>
      <c r="K523" s="2">
        <f>MONTH([1]retail_sales_cleaned_dataset!B523)</f>
        <v>7</v>
      </c>
      <c r="L523" s="2">
        <f>YEAR([1]retail_sales_cleaned_dataset!B523)</f>
        <v>2025</v>
      </c>
      <c r="M523" s="2" t="str">
        <f t="shared" si="17"/>
        <v>18-25</v>
      </c>
    </row>
    <row r="524" spans="1:13" x14ac:dyDescent="0.25">
      <c r="A524" s="2">
        <v>523</v>
      </c>
      <c r="B524" s="1">
        <v>45849</v>
      </c>
      <c r="C524" t="s">
        <v>389</v>
      </c>
      <c r="D524" t="s">
        <v>12</v>
      </c>
      <c r="E524">
        <v>40</v>
      </c>
      <c r="F524" s="2" t="s">
        <v>15</v>
      </c>
      <c r="G524" s="2">
        <v>1</v>
      </c>
      <c r="H524" s="5">
        <v>300</v>
      </c>
      <c r="I524" s="5">
        <f t="shared" si="16"/>
        <v>300</v>
      </c>
      <c r="J524" s="2" t="str">
        <f>TEXT([1]retail_sales_cleaned_dataset!B524,"mmmm")</f>
        <v>July</v>
      </c>
      <c r="K524" s="2">
        <f>MONTH([1]retail_sales_cleaned_dataset!B524)</f>
        <v>7</v>
      </c>
      <c r="L524" s="2">
        <f>YEAR([1]retail_sales_cleaned_dataset!B524)</f>
        <v>2025</v>
      </c>
      <c r="M524" s="2" t="str">
        <f t="shared" si="17"/>
        <v>36-45</v>
      </c>
    </row>
    <row r="525" spans="1:13" x14ac:dyDescent="0.25">
      <c r="A525" s="2">
        <v>524</v>
      </c>
      <c r="B525" s="1">
        <v>45849</v>
      </c>
      <c r="C525" t="s">
        <v>319</v>
      </c>
      <c r="D525" t="s">
        <v>9</v>
      </c>
      <c r="E525">
        <v>54</v>
      </c>
      <c r="F525" s="2" t="s">
        <v>10</v>
      </c>
      <c r="G525" s="2">
        <v>4</v>
      </c>
      <c r="H525" s="5">
        <v>300</v>
      </c>
      <c r="I525" s="5">
        <f t="shared" si="16"/>
        <v>1200</v>
      </c>
      <c r="J525" s="2" t="str">
        <f>TEXT([1]retail_sales_cleaned_dataset!B525,"mmmm")</f>
        <v>July</v>
      </c>
      <c r="K525" s="2">
        <f>MONTH([1]retail_sales_cleaned_dataset!B525)</f>
        <v>7</v>
      </c>
      <c r="L525" s="2">
        <f>YEAR([1]retail_sales_cleaned_dataset!B525)</f>
        <v>2025</v>
      </c>
      <c r="M525" s="2" t="str">
        <f t="shared" si="17"/>
        <v>46+</v>
      </c>
    </row>
    <row r="526" spans="1:13" x14ac:dyDescent="0.25">
      <c r="A526" s="2">
        <v>525</v>
      </c>
      <c r="B526" s="1">
        <v>45850</v>
      </c>
      <c r="C526" t="s">
        <v>390</v>
      </c>
      <c r="D526" t="s">
        <v>12</v>
      </c>
      <c r="E526">
        <v>47</v>
      </c>
      <c r="F526" s="2" t="s">
        <v>10</v>
      </c>
      <c r="G526" s="2">
        <v>2</v>
      </c>
      <c r="H526" s="5">
        <v>25</v>
      </c>
      <c r="I526" s="5">
        <f t="shared" si="16"/>
        <v>50</v>
      </c>
      <c r="J526" s="2" t="str">
        <f>TEXT([1]retail_sales_cleaned_dataset!B526,"mmmm")</f>
        <v>July</v>
      </c>
      <c r="K526" s="2">
        <f>MONTH([1]retail_sales_cleaned_dataset!B526)</f>
        <v>7</v>
      </c>
      <c r="L526" s="2">
        <f>YEAR([1]retail_sales_cleaned_dataset!B526)</f>
        <v>2025</v>
      </c>
      <c r="M526" s="2" t="str">
        <f t="shared" si="17"/>
        <v>46+</v>
      </c>
    </row>
    <row r="527" spans="1:13" x14ac:dyDescent="0.25">
      <c r="A527" s="2">
        <v>526</v>
      </c>
      <c r="B527" s="1">
        <v>45851</v>
      </c>
      <c r="C527" t="s">
        <v>225</v>
      </c>
      <c r="D527" t="s">
        <v>12</v>
      </c>
      <c r="E527">
        <v>52</v>
      </c>
      <c r="F527" s="2" t="s">
        <v>13</v>
      </c>
      <c r="G527" s="2">
        <v>2</v>
      </c>
      <c r="H527" s="5">
        <v>50</v>
      </c>
      <c r="I527" s="5">
        <f t="shared" si="16"/>
        <v>100</v>
      </c>
      <c r="J527" s="2" t="str">
        <f>TEXT([1]retail_sales_cleaned_dataset!B527,"mmmm")</f>
        <v>July</v>
      </c>
      <c r="K527" s="2">
        <f>MONTH([1]retail_sales_cleaned_dataset!B527)</f>
        <v>7</v>
      </c>
      <c r="L527" s="2">
        <f>YEAR([1]retail_sales_cleaned_dataset!B527)</f>
        <v>2025</v>
      </c>
      <c r="M527" s="2" t="str">
        <f t="shared" si="17"/>
        <v>46+</v>
      </c>
    </row>
    <row r="528" spans="1:13" x14ac:dyDescent="0.25">
      <c r="A528" s="2">
        <v>527</v>
      </c>
      <c r="B528" s="1">
        <v>45852</v>
      </c>
      <c r="C528" t="s">
        <v>391</v>
      </c>
      <c r="D528" t="s">
        <v>12</v>
      </c>
      <c r="E528">
        <v>61</v>
      </c>
      <c r="F528" s="2" t="s">
        <v>13</v>
      </c>
      <c r="G528" s="2">
        <v>2</v>
      </c>
      <c r="H528" s="5">
        <v>25</v>
      </c>
      <c r="I528" s="5">
        <f t="shared" si="16"/>
        <v>50</v>
      </c>
      <c r="J528" s="2" t="str">
        <f>TEXT([1]retail_sales_cleaned_dataset!B528,"mmmm")</f>
        <v>July</v>
      </c>
      <c r="K528" s="2">
        <f>MONTH([1]retail_sales_cleaned_dataset!B528)</f>
        <v>7</v>
      </c>
      <c r="L528" s="2">
        <f>YEAR([1]retail_sales_cleaned_dataset!B528)</f>
        <v>2025</v>
      </c>
      <c r="M528" s="2" t="str">
        <f t="shared" si="17"/>
        <v>46+</v>
      </c>
    </row>
    <row r="529" spans="1:13" x14ac:dyDescent="0.25">
      <c r="A529" s="2">
        <v>528</v>
      </c>
      <c r="B529" s="1">
        <v>45852</v>
      </c>
      <c r="C529" t="s">
        <v>392</v>
      </c>
      <c r="D529" t="s">
        <v>9</v>
      </c>
      <c r="E529">
        <v>41</v>
      </c>
      <c r="F529" s="2" t="s">
        <v>13</v>
      </c>
      <c r="G529" s="2">
        <v>2</v>
      </c>
      <c r="H529" s="5">
        <v>30</v>
      </c>
      <c r="I529" s="5">
        <f t="shared" si="16"/>
        <v>60</v>
      </c>
      <c r="J529" s="2" t="str">
        <f>TEXT([1]retail_sales_cleaned_dataset!B529,"mmmm")</f>
        <v>July</v>
      </c>
      <c r="K529" s="2">
        <f>MONTH([1]retail_sales_cleaned_dataset!B529)</f>
        <v>7</v>
      </c>
      <c r="L529" s="2">
        <f>YEAR([1]retail_sales_cleaned_dataset!B529)</f>
        <v>2025</v>
      </c>
      <c r="M529" s="2" t="str">
        <f t="shared" si="17"/>
        <v>36-45</v>
      </c>
    </row>
    <row r="530" spans="1:13" x14ac:dyDescent="0.25">
      <c r="A530" s="2">
        <v>529</v>
      </c>
      <c r="B530" s="1">
        <v>45852</v>
      </c>
      <c r="C530" t="s">
        <v>393</v>
      </c>
      <c r="D530" t="s">
        <v>9</v>
      </c>
      <c r="E530">
        <v>34</v>
      </c>
      <c r="F530" s="2" t="s">
        <v>13</v>
      </c>
      <c r="G530" s="2">
        <v>3</v>
      </c>
      <c r="H530" s="5">
        <v>50</v>
      </c>
      <c r="I530" s="5">
        <f t="shared" si="16"/>
        <v>150</v>
      </c>
      <c r="J530" s="2" t="str">
        <f>TEXT([1]retail_sales_cleaned_dataset!B530,"mmmm")</f>
        <v>July</v>
      </c>
      <c r="K530" s="2">
        <f>MONTH([1]retail_sales_cleaned_dataset!B530)</f>
        <v>7</v>
      </c>
      <c r="L530" s="2">
        <f>YEAR([1]retail_sales_cleaned_dataset!B530)</f>
        <v>2025</v>
      </c>
      <c r="M530" s="2" t="str">
        <f t="shared" si="17"/>
        <v>26-35</v>
      </c>
    </row>
    <row r="531" spans="1:13" x14ac:dyDescent="0.25">
      <c r="A531" s="2">
        <v>530</v>
      </c>
      <c r="B531" s="1">
        <v>45852</v>
      </c>
      <c r="C531" t="s">
        <v>88</v>
      </c>
      <c r="D531" t="s">
        <v>9</v>
      </c>
      <c r="E531">
        <v>31</v>
      </c>
      <c r="F531" s="2" t="s">
        <v>15</v>
      </c>
      <c r="G531" s="2">
        <v>4</v>
      </c>
      <c r="H531" s="5">
        <v>30</v>
      </c>
      <c r="I531" s="5">
        <f t="shared" si="16"/>
        <v>120</v>
      </c>
      <c r="J531" s="2" t="str">
        <f>TEXT([1]retail_sales_cleaned_dataset!B531,"mmmm")</f>
        <v>July</v>
      </c>
      <c r="K531" s="2">
        <f>MONTH([1]retail_sales_cleaned_dataset!B531)</f>
        <v>7</v>
      </c>
      <c r="L531" s="2">
        <f>YEAR([1]retail_sales_cleaned_dataset!B531)</f>
        <v>2025</v>
      </c>
      <c r="M531" s="2" t="str">
        <f t="shared" si="17"/>
        <v>26-35</v>
      </c>
    </row>
    <row r="532" spans="1:13" x14ac:dyDescent="0.25">
      <c r="A532" s="2">
        <v>531</v>
      </c>
      <c r="B532" s="1">
        <v>45852</v>
      </c>
      <c r="C532" t="s">
        <v>394</v>
      </c>
      <c r="D532" t="s">
        <v>12</v>
      </c>
      <c r="E532">
        <v>26</v>
      </c>
      <c r="F532" s="2" t="s">
        <v>15</v>
      </c>
      <c r="G532" s="2">
        <v>1</v>
      </c>
      <c r="H532" s="5">
        <v>500</v>
      </c>
      <c r="I532" s="5">
        <f t="shared" si="16"/>
        <v>500</v>
      </c>
      <c r="J532" s="2" t="str">
        <f>TEXT([1]retail_sales_cleaned_dataset!B532,"mmmm")</f>
        <v>July</v>
      </c>
      <c r="K532" s="2">
        <f>MONTH([1]retail_sales_cleaned_dataset!B532)</f>
        <v>7</v>
      </c>
      <c r="L532" s="2">
        <f>YEAR([1]retail_sales_cleaned_dataset!B532)</f>
        <v>2025</v>
      </c>
      <c r="M532" s="2" t="str">
        <f t="shared" si="17"/>
        <v>26-35</v>
      </c>
    </row>
    <row r="533" spans="1:13" x14ac:dyDescent="0.25">
      <c r="A533" s="2">
        <v>532</v>
      </c>
      <c r="B533" s="1">
        <v>45852</v>
      </c>
      <c r="C533" t="s">
        <v>151</v>
      </c>
      <c r="D533" t="s">
        <v>9</v>
      </c>
      <c r="E533">
        <v>57</v>
      </c>
      <c r="F533" s="2" t="s">
        <v>13</v>
      </c>
      <c r="G533" s="2">
        <v>4</v>
      </c>
      <c r="H533" s="5">
        <v>30</v>
      </c>
      <c r="I533" s="5">
        <f t="shared" si="16"/>
        <v>120</v>
      </c>
      <c r="J533" s="2" t="str">
        <f>TEXT([1]retail_sales_cleaned_dataset!B533,"mmmm")</f>
        <v>July</v>
      </c>
      <c r="K533" s="2">
        <f>MONTH([1]retail_sales_cleaned_dataset!B533)</f>
        <v>7</v>
      </c>
      <c r="L533" s="2">
        <f>YEAR([1]retail_sales_cleaned_dataset!B533)</f>
        <v>2025</v>
      </c>
      <c r="M533" s="2" t="str">
        <f t="shared" si="17"/>
        <v>46+</v>
      </c>
    </row>
    <row r="534" spans="1:13" x14ac:dyDescent="0.25">
      <c r="A534" s="2">
        <v>533</v>
      </c>
      <c r="B534" s="1">
        <v>45852</v>
      </c>
      <c r="C534" t="s">
        <v>395</v>
      </c>
      <c r="D534" t="s">
        <v>9</v>
      </c>
      <c r="E534">
        <v>42</v>
      </c>
      <c r="F534" s="2" t="s">
        <v>15</v>
      </c>
      <c r="G534" s="2">
        <v>3</v>
      </c>
      <c r="H534" s="5">
        <v>500</v>
      </c>
      <c r="I534" s="5">
        <f t="shared" si="16"/>
        <v>1500</v>
      </c>
      <c r="J534" s="2" t="str">
        <f>TEXT([1]retail_sales_cleaned_dataset!B534,"mmmm")</f>
        <v>July</v>
      </c>
      <c r="K534" s="2">
        <f>MONTH([1]retail_sales_cleaned_dataset!B534)</f>
        <v>7</v>
      </c>
      <c r="L534" s="2">
        <f>YEAR([1]retail_sales_cleaned_dataset!B534)</f>
        <v>2025</v>
      </c>
      <c r="M534" s="2" t="str">
        <f t="shared" si="17"/>
        <v>36-45</v>
      </c>
    </row>
    <row r="535" spans="1:13" x14ac:dyDescent="0.25">
      <c r="A535" s="2">
        <v>534</v>
      </c>
      <c r="B535" s="1">
        <v>45852</v>
      </c>
      <c r="C535" t="s">
        <v>270</v>
      </c>
      <c r="D535" t="s">
        <v>9</v>
      </c>
      <c r="E535">
        <v>43</v>
      </c>
      <c r="F535" s="2" t="s">
        <v>13</v>
      </c>
      <c r="G535" s="2">
        <v>2</v>
      </c>
      <c r="H535" s="5">
        <v>500</v>
      </c>
      <c r="I535" s="5">
        <f t="shared" si="16"/>
        <v>1000</v>
      </c>
      <c r="J535" s="2" t="str">
        <f>TEXT([1]retail_sales_cleaned_dataset!B535,"mmmm")</f>
        <v>July</v>
      </c>
      <c r="K535" s="2">
        <f>MONTH([1]retail_sales_cleaned_dataset!B535)</f>
        <v>7</v>
      </c>
      <c r="L535" s="2">
        <f>YEAR([1]retail_sales_cleaned_dataset!B535)</f>
        <v>2025</v>
      </c>
      <c r="M535" s="2" t="str">
        <f t="shared" si="17"/>
        <v>36-45</v>
      </c>
    </row>
    <row r="536" spans="1:13" x14ac:dyDescent="0.25">
      <c r="A536" s="2">
        <v>535</v>
      </c>
      <c r="B536" s="1">
        <v>45852</v>
      </c>
      <c r="C536" t="s">
        <v>396</v>
      </c>
      <c r="D536" t="s">
        <v>12</v>
      </c>
      <c r="E536">
        <v>54</v>
      </c>
      <c r="F536" s="2" t="s">
        <v>10</v>
      </c>
      <c r="G536" s="2">
        <v>3</v>
      </c>
      <c r="H536" s="5">
        <v>30</v>
      </c>
      <c r="I536" s="5">
        <f t="shared" si="16"/>
        <v>90</v>
      </c>
      <c r="J536" s="2" t="str">
        <f>TEXT([1]retail_sales_cleaned_dataset!B536,"mmmm")</f>
        <v>July</v>
      </c>
      <c r="K536" s="2">
        <f>MONTH([1]retail_sales_cleaned_dataset!B536)</f>
        <v>7</v>
      </c>
      <c r="L536" s="2">
        <f>YEAR([1]retail_sales_cleaned_dataset!B536)</f>
        <v>2025</v>
      </c>
      <c r="M536" s="2" t="str">
        <f t="shared" si="17"/>
        <v>46+</v>
      </c>
    </row>
    <row r="537" spans="1:13" x14ac:dyDescent="0.25">
      <c r="A537" s="2">
        <v>536</v>
      </c>
      <c r="B537" s="1">
        <v>45852</v>
      </c>
      <c r="C537" t="s">
        <v>397</v>
      </c>
      <c r="D537" t="s">
        <v>9</v>
      </c>
      <c r="E537">
        <v>38</v>
      </c>
      <c r="F537" s="2" t="s">
        <v>10</v>
      </c>
      <c r="G537" s="2">
        <v>4</v>
      </c>
      <c r="H537" s="5">
        <v>30</v>
      </c>
      <c r="I537" s="5">
        <f t="shared" si="16"/>
        <v>120</v>
      </c>
      <c r="J537" s="2" t="str">
        <f>TEXT([1]retail_sales_cleaned_dataset!B537,"mmmm")</f>
        <v>July</v>
      </c>
      <c r="K537" s="2">
        <f>MONTH([1]retail_sales_cleaned_dataset!B537)</f>
        <v>7</v>
      </c>
      <c r="L537" s="2">
        <f>YEAR([1]retail_sales_cleaned_dataset!B537)</f>
        <v>2025</v>
      </c>
      <c r="M537" s="2" t="str">
        <f t="shared" si="17"/>
        <v>36-45</v>
      </c>
    </row>
    <row r="538" spans="1:13" x14ac:dyDescent="0.25">
      <c r="A538" s="2">
        <v>537</v>
      </c>
      <c r="B538" s="1">
        <v>45853</v>
      </c>
      <c r="C538" t="s">
        <v>398</v>
      </c>
      <c r="D538" t="s">
        <v>9</v>
      </c>
      <c r="E538">
        <v>59</v>
      </c>
      <c r="F538" s="2" t="s">
        <v>10</v>
      </c>
      <c r="G538" s="2">
        <v>1</v>
      </c>
      <c r="H538" s="5">
        <v>500</v>
      </c>
      <c r="I538" s="5">
        <f t="shared" si="16"/>
        <v>500</v>
      </c>
      <c r="J538" s="2" t="str">
        <f>TEXT([1]retail_sales_cleaned_dataset!B538,"mmmm")</f>
        <v>July</v>
      </c>
      <c r="K538" s="2">
        <f>MONTH([1]retail_sales_cleaned_dataset!B538)</f>
        <v>7</v>
      </c>
      <c r="L538" s="2">
        <f>YEAR([1]retail_sales_cleaned_dataset!B538)</f>
        <v>2025</v>
      </c>
      <c r="M538" s="2" t="str">
        <f t="shared" si="17"/>
        <v>46+</v>
      </c>
    </row>
    <row r="539" spans="1:13" x14ac:dyDescent="0.25">
      <c r="A539" s="2">
        <v>538</v>
      </c>
      <c r="B539" s="1">
        <v>45853</v>
      </c>
      <c r="C539" t="s">
        <v>399</v>
      </c>
      <c r="D539" t="s">
        <v>12</v>
      </c>
      <c r="E539">
        <v>58</v>
      </c>
      <c r="F539" s="2" t="s">
        <v>13</v>
      </c>
      <c r="G539" s="2">
        <v>3</v>
      </c>
      <c r="H539" s="5">
        <v>50</v>
      </c>
      <c r="I539" s="5">
        <f t="shared" si="16"/>
        <v>150</v>
      </c>
      <c r="J539" s="2" t="str">
        <f>TEXT([1]retail_sales_cleaned_dataset!B539,"mmmm")</f>
        <v>July</v>
      </c>
      <c r="K539" s="2">
        <f>MONTH([1]retail_sales_cleaned_dataset!B539)</f>
        <v>7</v>
      </c>
      <c r="L539" s="2">
        <f>YEAR([1]retail_sales_cleaned_dataset!B539)</f>
        <v>2025</v>
      </c>
      <c r="M539" s="2" t="str">
        <f t="shared" si="17"/>
        <v>46+</v>
      </c>
    </row>
    <row r="540" spans="1:13" x14ac:dyDescent="0.25">
      <c r="A540" s="2">
        <v>539</v>
      </c>
      <c r="B540" s="1">
        <v>45854</v>
      </c>
      <c r="C540" t="s">
        <v>400</v>
      </c>
      <c r="D540" t="s">
        <v>9</v>
      </c>
      <c r="E540">
        <v>51</v>
      </c>
      <c r="F540" s="2" t="s">
        <v>10</v>
      </c>
      <c r="G540" s="2">
        <v>6</v>
      </c>
      <c r="H540" s="5">
        <v>500</v>
      </c>
      <c r="I540" s="5">
        <f t="shared" si="16"/>
        <v>3000</v>
      </c>
      <c r="J540" s="2" t="str">
        <f>TEXT([1]retail_sales_cleaned_dataset!B540,"mmmm")</f>
        <v>July</v>
      </c>
      <c r="K540" s="2">
        <f>MONTH([1]retail_sales_cleaned_dataset!B540)</f>
        <v>7</v>
      </c>
      <c r="L540" s="2">
        <f>YEAR([1]retail_sales_cleaned_dataset!B540)</f>
        <v>2025</v>
      </c>
      <c r="M540" s="2" t="str">
        <f t="shared" si="17"/>
        <v>46+</v>
      </c>
    </row>
    <row r="541" spans="1:13" x14ac:dyDescent="0.25">
      <c r="A541" s="2">
        <v>540</v>
      </c>
      <c r="B541" s="1">
        <v>45854</v>
      </c>
      <c r="C541" t="s">
        <v>401</v>
      </c>
      <c r="D541" t="s">
        <v>9</v>
      </c>
      <c r="E541">
        <v>54</v>
      </c>
      <c r="F541" s="2" t="s">
        <v>15</v>
      </c>
      <c r="G541" s="2">
        <v>3</v>
      </c>
      <c r="H541" s="5">
        <v>300</v>
      </c>
      <c r="I541" s="5">
        <f t="shared" si="16"/>
        <v>900</v>
      </c>
      <c r="J541" s="2" t="str">
        <f>TEXT([1]retail_sales_cleaned_dataset!B541,"mmmm")</f>
        <v>July</v>
      </c>
      <c r="K541" s="2">
        <f>MONTH([1]retail_sales_cleaned_dataset!B541)</f>
        <v>7</v>
      </c>
      <c r="L541" s="2">
        <f>YEAR([1]retail_sales_cleaned_dataset!B541)</f>
        <v>2025</v>
      </c>
      <c r="M541" s="2" t="str">
        <f t="shared" si="17"/>
        <v>46+</v>
      </c>
    </row>
    <row r="542" spans="1:13" x14ac:dyDescent="0.25">
      <c r="A542" s="2">
        <v>541</v>
      </c>
      <c r="B542" s="1">
        <v>45855</v>
      </c>
      <c r="C542" t="s">
        <v>343</v>
      </c>
      <c r="D542" t="s">
        <v>9</v>
      </c>
      <c r="E542">
        <v>42</v>
      </c>
      <c r="F542" s="2" t="s">
        <v>10</v>
      </c>
      <c r="G542" s="2">
        <v>1</v>
      </c>
      <c r="H542" s="5">
        <v>500</v>
      </c>
      <c r="I542" s="5">
        <f t="shared" si="16"/>
        <v>500</v>
      </c>
      <c r="J542" s="2" t="str">
        <f>TEXT([1]retail_sales_cleaned_dataset!B542,"mmmm")</f>
        <v>July</v>
      </c>
      <c r="K542" s="2">
        <f>MONTH([1]retail_sales_cleaned_dataset!B542)</f>
        <v>7</v>
      </c>
      <c r="L542" s="2">
        <f>YEAR([1]retail_sales_cleaned_dataset!B542)</f>
        <v>2025</v>
      </c>
      <c r="M542" s="2" t="str">
        <f t="shared" si="17"/>
        <v>36-45</v>
      </c>
    </row>
    <row r="543" spans="1:13" x14ac:dyDescent="0.25">
      <c r="A543" s="2">
        <v>542</v>
      </c>
      <c r="B543" s="1">
        <v>45855</v>
      </c>
      <c r="C543" t="s">
        <v>402</v>
      </c>
      <c r="D543" t="s">
        <v>12</v>
      </c>
      <c r="E543">
        <v>55</v>
      </c>
      <c r="F543" s="2" t="s">
        <v>10</v>
      </c>
      <c r="G543" s="2">
        <v>1</v>
      </c>
      <c r="H543" s="5">
        <v>50</v>
      </c>
      <c r="I543" s="5">
        <f t="shared" si="16"/>
        <v>50</v>
      </c>
      <c r="J543" s="2" t="str">
        <f>TEXT([1]retail_sales_cleaned_dataset!B543,"mmmm")</f>
        <v>July</v>
      </c>
      <c r="K543" s="2">
        <f>MONTH([1]retail_sales_cleaned_dataset!B543)</f>
        <v>7</v>
      </c>
      <c r="L543" s="2">
        <f>YEAR([1]retail_sales_cleaned_dataset!B543)</f>
        <v>2025</v>
      </c>
      <c r="M543" s="2" t="str">
        <f t="shared" si="17"/>
        <v>46+</v>
      </c>
    </row>
    <row r="544" spans="1:13" x14ac:dyDescent="0.25">
      <c r="A544" s="2">
        <v>543</v>
      </c>
      <c r="B544" s="1">
        <v>45857</v>
      </c>
      <c r="C544" t="s">
        <v>304</v>
      </c>
      <c r="D544" t="s">
        <v>9</v>
      </c>
      <c r="E544">
        <v>40</v>
      </c>
      <c r="F544" s="2" t="s">
        <v>10</v>
      </c>
      <c r="G544" s="2">
        <v>2</v>
      </c>
      <c r="H544" s="5">
        <v>300</v>
      </c>
      <c r="I544" s="5">
        <f t="shared" si="16"/>
        <v>600</v>
      </c>
      <c r="J544" s="2" t="str">
        <f>TEXT([1]retail_sales_cleaned_dataset!B544,"mmmm")</f>
        <v>July</v>
      </c>
      <c r="K544" s="2">
        <f>MONTH([1]retail_sales_cleaned_dataset!B544)</f>
        <v>7</v>
      </c>
      <c r="L544" s="2">
        <f>YEAR([1]retail_sales_cleaned_dataset!B544)</f>
        <v>2025</v>
      </c>
      <c r="M544" s="2" t="str">
        <f t="shared" si="17"/>
        <v>36-45</v>
      </c>
    </row>
    <row r="545" spans="1:13" x14ac:dyDescent="0.25">
      <c r="A545" s="2">
        <v>544</v>
      </c>
      <c r="B545" s="1">
        <v>45857</v>
      </c>
      <c r="C545" t="s">
        <v>403</v>
      </c>
      <c r="D545" t="s">
        <v>9</v>
      </c>
      <c r="E545">
        <v>59</v>
      </c>
      <c r="F545" s="2" t="s">
        <v>15</v>
      </c>
      <c r="G545" s="2">
        <v>1</v>
      </c>
      <c r="H545" s="5">
        <v>25</v>
      </c>
      <c r="I545" s="5">
        <f t="shared" si="16"/>
        <v>25</v>
      </c>
      <c r="J545" s="2" t="str">
        <f>TEXT([1]retail_sales_cleaned_dataset!B545,"mmmm")</f>
        <v>July</v>
      </c>
      <c r="K545" s="2">
        <f>MONTH([1]retail_sales_cleaned_dataset!B545)</f>
        <v>7</v>
      </c>
      <c r="L545" s="2">
        <f>YEAR([1]retail_sales_cleaned_dataset!B545)</f>
        <v>2025</v>
      </c>
      <c r="M545" s="2" t="str">
        <f t="shared" si="17"/>
        <v>46+</v>
      </c>
    </row>
    <row r="546" spans="1:13" x14ac:dyDescent="0.25">
      <c r="A546" s="2">
        <v>545</v>
      </c>
      <c r="B546" s="1">
        <v>45857</v>
      </c>
      <c r="C546" t="s">
        <v>197</v>
      </c>
      <c r="D546" t="s">
        <v>12</v>
      </c>
      <c r="E546">
        <v>44</v>
      </c>
      <c r="F546" s="2" t="s">
        <v>13</v>
      </c>
      <c r="G546" s="2">
        <v>2</v>
      </c>
      <c r="H546" s="5">
        <v>25</v>
      </c>
      <c r="I546" s="5">
        <f t="shared" si="16"/>
        <v>50</v>
      </c>
      <c r="J546" s="2" t="str">
        <f>TEXT([1]retail_sales_cleaned_dataset!B546,"mmmm")</f>
        <v>July</v>
      </c>
      <c r="K546" s="2">
        <f>MONTH([1]retail_sales_cleaned_dataset!B546)</f>
        <v>7</v>
      </c>
      <c r="L546" s="2">
        <f>YEAR([1]retail_sales_cleaned_dataset!B546)</f>
        <v>2025</v>
      </c>
      <c r="M546" s="2" t="str">
        <f t="shared" si="17"/>
        <v>36-45</v>
      </c>
    </row>
    <row r="547" spans="1:13" x14ac:dyDescent="0.25">
      <c r="A547" s="2">
        <v>546</v>
      </c>
      <c r="B547" s="1">
        <v>45857</v>
      </c>
      <c r="C547" t="s">
        <v>404</v>
      </c>
      <c r="D547" t="s">
        <v>9</v>
      </c>
      <c r="E547">
        <v>23</v>
      </c>
      <c r="F547" s="2" t="s">
        <v>15</v>
      </c>
      <c r="G547" s="2">
        <v>4</v>
      </c>
      <c r="H547" s="5">
        <v>50</v>
      </c>
      <c r="I547" s="5">
        <f t="shared" si="16"/>
        <v>200</v>
      </c>
      <c r="J547" s="2" t="str">
        <f>TEXT([1]retail_sales_cleaned_dataset!B547,"mmmm")</f>
        <v>July</v>
      </c>
      <c r="K547" s="2">
        <f>MONTH([1]retail_sales_cleaned_dataset!B547)</f>
        <v>7</v>
      </c>
      <c r="L547" s="2">
        <f>YEAR([1]retail_sales_cleaned_dataset!B547)</f>
        <v>2025</v>
      </c>
      <c r="M547" s="2" t="str">
        <f t="shared" si="17"/>
        <v>18-25</v>
      </c>
    </row>
    <row r="548" spans="1:13" x14ac:dyDescent="0.25">
      <c r="A548" s="2">
        <v>547</v>
      </c>
      <c r="B548" s="1">
        <v>45859</v>
      </c>
      <c r="C548" t="s">
        <v>301</v>
      </c>
      <c r="D548" t="s">
        <v>12</v>
      </c>
      <c r="E548">
        <v>44</v>
      </c>
      <c r="F548" s="2" t="s">
        <v>13</v>
      </c>
      <c r="G548" s="2">
        <v>4</v>
      </c>
      <c r="H548" s="5">
        <v>500</v>
      </c>
      <c r="I548" s="5">
        <f t="shared" si="16"/>
        <v>2000</v>
      </c>
      <c r="J548" s="2" t="str">
        <f>TEXT([1]retail_sales_cleaned_dataset!B548,"mmmm")</f>
        <v>July</v>
      </c>
      <c r="K548" s="2">
        <f>MONTH([1]retail_sales_cleaned_dataset!B548)</f>
        <v>7</v>
      </c>
      <c r="L548" s="2">
        <f>YEAR([1]retail_sales_cleaned_dataset!B548)</f>
        <v>2025</v>
      </c>
      <c r="M548" s="2" t="str">
        <f t="shared" si="17"/>
        <v>36-45</v>
      </c>
    </row>
    <row r="549" spans="1:13" x14ac:dyDescent="0.25">
      <c r="A549" s="2">
        <v>548</v>
      </c>
      <c r="B549" s="1">
        <v>45860</v>
      </c>
      <c r="C549" t="s">
        <v>405</v>
      </c>
      <c r="D549" t="s">
        <v>9</v>
      </c>
      <c r="E549">
        <v>57</v>
      </c>
      <c r="F549" s="2" t="s">
        <v>13</v>
      </c>
      <c r="G549" s="2">
        <v>2</v>
      </c>
      <c r="H549" s="5">
        <v>30</v>
      </c>
      <c r="I549" s="5">
        <f t="shared" si="16"/>
        <v>60</v>
      </c>
      <c r="J549" s="2" t="str">
        <f>TEXT([1]retail_sales_cleaned_dataset!B549,"mmmm")</f>
        <v>July</v>
      </c>
      <c r="K549" s="2">
        <f>MONTH([1]retail_sales_cleaned_dataset!B549)</f>
        <v>7</v>
      </c>
      <c r="L549" s="2">
        <f>YEAR([1]retail_sales_cleaned_dataset!B549)</f>
        <v>2025</v>
      </c>
      <c r="M549" s="2" t="str">
        <f t="shared" si="17"/>
        <v>46+</v>
      </c>
    </row>
    <row r="550" spans="1:13" x14ac:dyDescent="0.25">
      <c r="A550" s="2">
        <v>549</v>
      </c>
      <c r="B550" s="1">
        <v>45860</v>
      </c>
      <c r="C550" t="s">
        <v>370</v>
      </c>
      <c r="D550" t="s">
        <v>12</v>
      </c>
      <c r="E550">
        <v>43</v>
      </c>
      <c r="F550" s="2" t="s">
        <v>10</v>
      </c>
      <c r="G550" s="2">
        <v>2</v>
      </c>
      <c r="H550" s="5">
        <v>50</v>
      </c>
      <c r="I550" s="5">
        <f t="shared" si="16"/>
        <v>100</v>
      </c>
      <c r="J550" s="2" t="str">
        <f>TEXT([1]retail_sales_cleaned_dataset!B550,"mmmm")</f>
        <v>July</v>
      </c>
      <c r="K550" s="2">
        <f>MONTH([1]retail_sales_cleaned_dataset!B550)</f>
        <v>7</v>
      </c>
      <c r="L550" s="2">
        <f>YEAR([1]retail_sales_cleaned_dataset!B550)</f>
        <v>2025</v>
      </c>
      <c r="M550" s="2" t="str">
        <f t="shared" si="17"/>
        <v>36-45</v>
      </c>
    </row>
    <row r="551" spans="1:13" x14ac:dyDescent="0.25">
      <c r="A551" s="2">
        <v>550</v>
      </c>
      <c r="B551" s="1">
        <v>45861</v>
      </c>
      <c r="C551" t="s">
        <v>406</v>
      </c>
      <c r="D551" t="s">
        <v>12</v>
      </c>
      <c r="E551">
        <v>38</v>
      </c>
      <c r="F551" s="2" t="s">
        <v>13</v>
      </c>
      <c r="G551" s="2">
        <v>3</v>
      </c>
      <c r="H551" s="5">
        <v>300</v>
      </c>
      <c r="I551" s="5">
        <f t="shared" si="16"/>
        <v>900</v>
      </c>
      <c r="J551" s="2" t="str">
        <f>TEXT([1]retail_sales_cleaned_dataset!B551,"mmmm")</f>
        <v>July</v>
      </c>
      <c r="K551" s="2">
        <f>MONTH([1]retail_sales_cleaned_dataset!B551)</f>
        <v>7</v>
      </c>
      <c r="L551" s="2">
        <f>YEAR([1]retail_sales_cleaned_dataset!B551)</f>
        <v>2025</v>
      </c>
      <c r="M551" s="2" t="str">
        <f t="shared" si="17"/>
        <v>36-45</v>
      </c>
    </row>
    <row r="552" spans="1:13" x14ac:dyDescent="0.25">
      <c r="A552" s="2">
        <v>551</v>
      </c>
      <c r="B552" s="1">
        <v>45862</v>
      </c>
      <c r="C552" t="s">
        <v>38</v>
      </c>
      <c r="D552" t="s">
        <v>12</v>
      </c>
      <c r="E552">
        <v>45</v>
      </c>
      <c r="F552" s="2" t="s">
        <v>15</v>
      </c>
      <c r="G552" s="2">
        <v>3</v>
      </c>
      <c r="H552" s="5">
        <v>300</v>
      </c>
      <c r="I552" s="5">
        <f t="shared" si="16"/>
        <v>900</v>
      </c>
      <c r="J552" s="2" t="str">
        <f>TEXT([1]retail_sales_cleaned_dataset!B552,"mmmm")</f>
        <v>July</v>
      </c>
      <c r="K552" s="2">
        <f>MONTH([1]retail_sales_cleaned_dataset!B552)</f>
        <v>7</v>
      </c>
      <c r="L552" s="2">
        <f>YEAR([1]retail_sales_cleaned_dataset!B552)</f>
        <v>2025</v>
      </c>
      <c r="M552" s="2" t="str">
        <f t="shared" si="17"/>
        <v>36-45</v>
      </c>
    </row>
    <row r="553" spans="1:13" x14ac:dyDescent="0.25">
      <c r="A553" s="2">
        <v>552</v>
      </c>
      <c r="B553" s="1">
        <v>45862</v>
      </c>
      <c r="C553" t="s">
        <v>407</v>
      </c>
      <c r="D553" t="s">
        <v>12</v>
      </c>
      <c r="E553">
        <v>53</v>
      </c>
      <c r="F553" s="2" t="s">
        <v>15</v>
      </c>
      <c r="G553" s="2">
        <v>3</v>
      </c>
      <c r="H553" s="5">
        <v>25</v>
      </c>
      <c r="I553" s="5">
        <f t="shared" si="16"/>
        <v>75</v>
      </c>
      <c r="J553" s="2" t="str">
        <f>TEXT([1]retail_sales_cleaned_dataset!B553,"mmmm")</f>
        <v>July</v>
      </c>
      <c r="K553" s="2">
        <f>MONTH([1]retail_sales_cleaned_dataset!B553)</f>
        <v>7</v>
      </c>
      <c r="L553" s="2">
        <f>YEAR([1]retail_sales_cleaned_dataset!B553)</f>
        <v>2025</v>
      </c>
      <c r="M553" s="2" t="str">
        <f t="shared" si="17"/>
        <v>46+</v>
      </c>
    </row>
    <row r="554" spans="1:13" x14ac:dyDescent="0.25">
      <c r="A554" s="2">
        <v>553</v>
      </c>
      <c r="B554" s="1">
        <v>45862</v>
      </c>
      <c r="C554" t="s">
        <v>125</v>
      </c>
      <c r="D554" t="s">
        <v>12</v>
      </c>
      <c r="E554">
        <v>28</v>
      </c>
      <c r="F554" s="2" t="s">
        <v>13</v>
      </c>
      <c r="G554" s="2">
        <v>4</v>
      </c>
      <c r="H554" s="5">
        <v>300</v>
      </c>
      <c r="I554" s="5">
        <f t="shared" si="16"/>
        <v>1200</v>
      </c>
      <c r="J554" s="2" t="str">
        <f>TEXT([1]retail_sales_cleaned_dataset!B554,"mmmm")</f>
        <v>July</v>
      </c>
      <c r="K554" s="2">
        <f>MONTH([1]retail_sales_cleaned_dataset!B554)</f>
        <v>7</v>
      </c>
      <c r="L554" s="2">
        <f>YEAR([1]retail_sales_cleaned_dataset!B554)</f>
        <v>2025</v>
      </c>
      <c r="M554" s="2" t="str">
        <f t="shared" si="17"/>
        <v>26-35</v>
      </c>
    </row>
    <row r="555" spans="1:13" x14ac:dyDescent="0.25">
      <c r="A555" s="2">
        <v>554</v>
      </c>
      <c r="B555" s="1">
        <v>45862</v>
      </c>
      <c r="C555" t="s">
        <v>408</v>
      </c>
      <c r="D555" t="s">
        <v>9</v>
      </c>
      <c r="E555">
        <v>56</v>
      </c>
      <c r="F555" s="2" t="s">
        <v>10</v>
      </c>
      <c r="G555" s="2">
        <v>3</v>
      </c>
      <c r="H555" s="5">
        <v>50</v>
      </c>
      <c r="I555" s="5">
        <f t="shared" si="16"/>
        <v>150</v>
      </c>
      <c r="J555" s="2" t="str">
        <f>TEXT([1]retail_sales_cleaned_dataset!B555,"mmmm")</f>
        <v>July</v>
      </c>
      <c r="K555" s="2">
        <f>MONTH([1]retail_sales_cleaned_dataset!B555)</f>
        <v>7</v>
      </c>
      <c r="L555" s="2">
        <f>YEAR([1]retail_sales_cleaned_dataset!B555)</f>
        <v>2025</v>
      </c>
      <c r="M555" s="2" t="str">
        <f t="shared" si="17"/>
        <v>46+</v>
      </c>
    </row>
    <row r="556" spans="1:13" x14ac:dyDescent="0.25">
      <c r="A556" s="2">
        <v>555</v>
      </c>
      <c r="B556" s="1">
        <v>45862</v>
      </c>
      <c r="C556" t="s">
        <v>223</v>
      </c>
      <c r="D556" t="s">
        <v>12</v>
      </c>
      <c r="E556">
        <v>52</v>
      </c>
      <c r="F556" s="2" t="s">
        <v>10</v>
      </c>
      <c r="G556" s="2">
        <v>1</v>
      </c>
      <c r="H556" s="5">
        <v>300</v>
      </c>
      <c r="I556" s="5">
        <f t="shared" si="16"/>
        <v>300</v>
      </c>
      <c r="J556" s="2" t="str">
        <f>TEXT([1]retail_sales_cleaned_dataset!B556,"mmmm")</f>
        <v>July</v>
      </c>
      <c r="K556" s="2">
        <f>MONTH([1]retail_sales_cleaned_dataset!B556)</f>
        <v>7</v>
      </c>
      <c r="L556" s="2">
        <f>YEAR([1]retail_sales_cleaned_dataset!B556)</f>
        <v>2025</v>
      </c>
      <c r="M556" s="2" t="str">
        <f t="shared" si="17"/>
        <v>46+</v>
      </c>
    </row>
    <row r="557" spans="1:13" x14ac:dyDescent="0.25">
      <c r="A557" s="2">
        <v>556</v>
      </c>
      <c r="B557" s="1">
        <v>45863</v>
      </c>
      <c r="C557" t="s">
        <v>409</v>
      </c>
      <c r="D557" t="s">
        <v>12</v>
      </c>
      <c r="E557">
        <v>51</v>
      </c>
      <c r="F557" s="2" t="s">
        <v>15</v>
      </c>
      <c r="G557" s="2">
        <v>2</v>
      </c>
      <c r="H557" s="5">
        <v>50</v>
      </c>
      <c r="I557" s="5">
        <f t="shared" si="16"/>
        <v>100</v>
      </c>
      <c r="J557" s="2" t="str">
        <f>TEXT([1]retail_sales_cleaned_dataset!B557,"mmmm")</f>
        <v>July</v>
      </c>
      <c r="K557" s="2">
        <f>MONTH([1]retail_sales_cleaned_dataset!B557)</f>
        <v>7</v>
      </c>
      <c r="L557" s="2">
        <f>YEAR([1]retail_sales_cleaned_dataset!B557)</f>
        <v>2025</v>
      </c>
      <c r="M557" s="2" t="str">
        <f t="shared" si="17"/>
        <v>46+</v>
      </c>
    </row>
    <row r="558" spans="1:13" x14ac:dyDescent="0.25">
      <c r="A558" s="2">
        <v>557</v>
      </c>
      <c r="B558" s="1">
        <v>45863</v>
      </c>
      <c r="C558" t="s">
        <v>410</v>
      </c>
      <c r="D558" t="s">
        <v>12</v>
      </c>
      <c r="E558">
        <v>64</v>
      </c>
      <c r="F558" s="2" t="s">
        <v>10</v>
      </c>
      <c r="G558" s="2">
        <v>3</v>
      </c>
      <c r="H558" s="5">
        <v>30</v>
      </c>
      <c r="I558" s="5">
        <f t="shared" si="16"/>
        <v>90</v>
      </c>
      <c r="J558" s="2" t="str">
        <f>TEXT([1]retail_sales_cleaned_dataset!B558,"mmmm")</f>
        <v>July</v>
      </c>
      <c r="K558" s="2">
        <f>MONTH([1]retail_sales_cleaned_dataset!B558)</f>
        <v>7</v>
      </c>
      <c r="L558" s="2">
        <f>YEAR([1]retail_sales_cleaned_dataset!B558)</f>
        <v>2025</v>
      </c>
      <c r="M558" s="2" t="str">
        <f t="shared" si="17"/>
        <v>46+</v>
      </c>
    </row>
    <row r="559" spans="1:13" x14ac:dyDescent="0.25">
      <c r="A559" s="2">
        <v>558</v>
      </c>
      <c r="B559" s="1">
        <v>45863</v>
      </c>
      <c r="C559" t="s">
        <v>411</v>
      </c>
      <c r="D559" t="s">
        <v>12</v>
      </c>
      <c r="E559">
        <v>50</v>
      </c>
      <c r="F559" s="2" t="s">
        <v>13</v>
      </c>
      <c r="G559" s="2">
        <v>1</v>
      </c>
      <c r="H559" s="5">
        <v>25</v>
      </c>
      <c r="I559" s="5">
        <f t="shared" si="16"/>
        <v>25</v>
      </c>
      <c r="J559" s="2" t="str">
        <f>TEXT([1]retail_sales_cleaned_dataset!B559,"mmmm")</f>
        <v>July</v>
      </c>
      <c r="K559" s="2">
        <f>MONTH([1]retail_sales_cleaned_dataset!B559)</f>
        <v>7</v>
      </c>
      <c r="L559" s="2">
        <f>YEAR([1]retail_sales_cleaned_dataset!B559)</f>
        <v>2025</v>
      </c>
      <c r="M559" s="2" t="str">
        <f t="shared" si="17"/>
        <v>46+</v>
      </c>
    </row>
    <row r="560" spans="1:13" x14ac:dyDescent="0.25">
      <c r="A560" s="2">
        <v>559</v>
      </c>
      <c r="B560" s="1">
        <v>45864</v>
      </c>
      <c r="C560" t="s">
        <v>412</v>
      </c>
      <c r="D560" t="s">
        <v>9</v>
      </c>
      <c r="E560">
        <v>53</v>
      </c>
      <c r="F560" s="2" t="s">
        <v>13</v>
      </c>
      <c r="G560" s="2">
        <v>4</v>
      </c>
      <c r="H560" s="5">
        <v>300</v>
      </c>
      <c r="I560" s="5">
        <f t="shared" si="16"/>
        <v>1200</v>
      </c>
      <c r="J560" s="2" t="str">
        <f>TEXT([1]retail_sales_cleaned_dataset!B560,"mmmm")</f>
        <v>July</v>
      </c>
      <c r="K560" s="2">
        <f>MONTH([1]retail_sales_cleaned_dataset!B560)</f>
        <v>7</v>
      </c>
      <c r="L560" s="2">
        <f>YEAR([1]retail_sales_cleaned_dataset!B560)</f>
        <v>2025</v>
      </c>
      <c r="M560" s="2" t="str">
        <f t="shared" si="17"/>
        <v>46+</v>
      </c>
    </row>
    <row r="561" spans="1:13" x14ac:dyDescent="0.25">
      <c r="A561" s="2">
        <v>560</v>
      </c>
      <c r="B561" s="1">
        <v>45864</v>
      </c>
      <c r="C561" t="s">
        <v>413</v>
      </c>
      <c r="D561" t="s">
        <v>12</v>
      </c>
      <c r="E561">
        <v>37</v>
      </c>
      <c r="F561" s="2" t="s">
        <v>15</v>
      </c>
      <c r="G561" s="2">
        <v>1</v>
      </c>
      <c r="H561" s="5">
        <v>50</v>
      </c>
      <c r="I561" s="5">
        <f t="shared" si="16"/>
        <v>50</v>
      </c>
      <c r="J561" s="2" t="str">
        <f>TEXT([1]retail_sales_cleaned_dataset!B561,"mmmm")</f>
        <v>July</v>
      </c>
      <c r="K561" s="2">
        <f>MONTH([1]retail_sales_cleaned_dataset!B561)</f>
        <v>7</v>
      </c>
      <c r="L561" s="2">
        <f>YEAR([1]retail_sales_cleaned_dataset!B561)</f>
        <v>2025</v>
      </c>
      <c r="M561" s="2" t="str">
        <f t="shared" si="17"/>
        <v>36-45</v>
      </c>
    </row>
    <row r="562" spans="1:13" x14ac:dyDescent="0.25">
      <c r="A562" s="2">
        <v>561</v>
      </c>
      <c r="B562" s="1">
        <v>45864</v>
      </c>
      <c r="C562" t="s">
        <v>414</v>
      </c>
      <c r="D562" t="s">
        <v>12</v>
      </c>
      <c r="E562">
        <v>60</v>
      </c>
      <c r="F562" s="2" t="s">
        <v>13</v>
      </c>
      <c r="G562" s="2">
        <v>4</v>
      </c>
      <c r="H562" s="5">
        <v>500</v>
      </c>
      <c r="I562" s="5">
        <f t="shared" si="16"/>
        <v>2000</v>
      </c>
      <c r="J562" s="2" t="str">
        <f>TEXT([1]retail_sales_cleaned_dataset!B562,"mmmm")</f>
        <v>July</v>
      </c>
      <c r="K562" s="2">
        <f>MONTH([1]retail_sales_cleaned_dataset!B562)</f>
        <v>7</v>
      </c>
      <c r="L562" s="2">
        <f>YEAR([1]retail_sales_cleaned_dataset!B562)</f>
        <v>2025</v>
      </c>
      <c r="M562" s="2" t="str">
        <f t="shared" si="17"/>
        <v>46+</v>
      </c>
    </row>
    <row r="563" spans="1:13" x14ac:dyDescent="0.25">
      <c r="A563" s="2">
        <v>562</v>
      </c>
      <c r="B563" s="1">
        <v>45865</v>
      </c>
      <c r="C563" t="s">
        <v>415</v>
      </c>
      <c r="D563" t="s">
        <v>12</v>
      </c>
      <c r="E563">
        <v>44</v>
      </c>
      <c r="F563" s="2" t="s">
        <v>15</v>
      </c>
      <c r="G563" s="2">
        <v>2</v>
      </c>
      <c r="H563" s="5">
        <v>25</v>
      </c>
      <c r="I563" s="5">
        <f t="shared" si="16"/>
        <v>50</v>
      </c>
      <c r="J563" s="2" t="str">
        <f>TEXT([1]retail_sales_cleaned_dataset!B563,"mmmm")</f>
        <v>July</v>
      </c>
      <c r="K563" s="2">
        <f>MONTH([1]retail_sales_cleaned_dataset!B563)</f>
        <v>7</v>
      </c>
      <c r="L563" s="2">
        <f>YEAR([1]retail_sales_cleaned_dataset!B563)</f>
        <v>2025</v>
      </c>
      <c r="M563" s="2" t="str">
        <f t="shared" si="17"/>
        <v>36-45</v>
      </c>
    </row>
    <row r="564" spans="1:13" x14ac:dyDescent="0.25">
      <c r="A564" s="2">
        <v>563</v>
      </c>
      <c r="B564" s="1">
        <v>45865</v>
      </c>
      <c r="C564" t="s">
        <v>416</v>
      </c>
      <c r="D564" t="s">
        <v>9</v>
      </c>
      <c r="E564">
        <v>48</v>
      </c>
      <c r="F564" s="2" t="s">
        <v>13</v>
      </c>
      <c r="G564" s="2">
        <v>2</v>
      </c>
      <c r="H564" s="5">
        <v>30</v>
      </c>
      <c r="I564" s="5">
        <f t="shared" si="16"/>
        <v>60</v>
      </c>
      <c r="J564" s="2" t="str">
        <f>TEXT([1]retail_sales_cleaned_dataset!B564,"mmmm")</f>
        <v>July</v>
      </c>
      <c r="K564" s="2">
        <f>MONTH([1]retail_sales_cleaned_dataset!B564)</f>
        <v>7</v>
      </c>
      <c r="L564" s="2">
        <f>YEAR([1]retail_sales_cleaned_dataset!B564)</f>
        <v>2025</v>
      </c>
      <c r="M564" s="2" t="str">
        <f t="shared" si="17"/>
        <v>46+</v>
      </c>
    </row>
    <row r="565" spans="1:13" x14ac:dyDescent="0.25">
      <c r="A565" s="2">
        <v>564</v>
      </c>
      <c r="B565" s="1">
        <v>45865</v>
      </c>
      <c r="C565" t="s">
        <v>417</v>
      </c>
      <c r="D565" t="s">
        <v>9</v>
      </c>
      <c r="E565">
        <v>53</v>
      </c>
      <c r="F565" s="2" t="s">
        <v>15</v>
      </c>
      <c r="G565" s="2">
        <v>2</v>
      </c>
      <c r="H565" s="5">
        <v>50</v>
      </c>
      <c r="I565" s="5">
        <f t="shared" si="16"/>
        <v>100</v>
      </c>
      <c r="J565" s="2" t="str">
        <f>TEXT([1]retail_sales_cleaned_dataset!B565,"mmmm")</f>
        <v>July</v>
      </c>
      <c r="K565" s="2">
        <f>MONTH([1]retail_sales_cleaned_dataset!B565)</f>
        <v>7</v>
      </c>
      <c r="L565" s="2">
        <f>YEAR([1]retail_sales_cleaned_dataset!B565)</f>
        <v>2025</v>
      </c>
      <c r="M565" s="2" t="str">
        <f t="shared" si="17"/>
        <v>46+</v>
      </c>
    </row>
    <row r="566" spans="1:13" x14ac:dyDescent="0.25">
      <c r="A566" s="2">
        <v>565</v>
      </c>
      <c r="B566" s="1">
        <v>45866</v>
      </c>
      <c r="C566" t="s">
        <v>418</v>
      </c>
      <c r="D566" t="s">
        <v>9</v>
      </c>
      <c r="E566">
        <v>53</v>
      </c>
      <c r="F566" s="2" t="s">
        <v>10</v>
      </c>
      <c r="G566" s="2">
        <v>2</v>
      </c>
      <c r="H566" s="5">
        <v>30</v>
      </c>
      <c r="I566" s="5">
        <f t="shared" si="16"/>
        <v>60</v>
      </c>
      <c r="J566" s="2" t="str">
        <f>TEXT([1]retail_sales_cleaned_dataset!B566,"mmmm")</f>
        <v>July</v>
      </c>
      <c r="K566" s="2">
        <f>MONTH([1]retail_sales_cleaned_dataset!B566)</f>
        <v>7</v>
      </c>
      <c r="L566" s="2">
        <f>YEAR([1]retail_sales_cleaned_dataset!B566)</f>
        <v>2025</v>
      </c>
      <c r="M566" s="2" t="str">
        <f t="shared" si="17"/>
        <v>46+</v>
      </c>
    </row>
    <row r="567" spans="1:13" x14ac:dyDescent="0.25">
      <c r="A567" s="2">
        <v>566</v>
      </c>
      <c r="B567" s="1">
        <v>45866</v>
      </c>
      <c r="C567" t="s">
        <v>419</v>
      </c>
      <c r="D567" t="s">
        <v>9</v>
      </c>
      <c r="E567">
        <v>43</v>
      </c>
      <c r="F567" s="2" t="s">
        <v>13</v>
      </c>
      <c r="G567" s="2">
        <v>1</v>
      </c>
      <c r="H567" s="5">
        <v>30</v>
      </c>
      <c r="I567" s="5">
        <f t="shared" si="16"/>
        <v>30</v>
      </c>
      <c r="J567" s="2" t="str">
        <f>TEXT([1]retail_sales_cleaned_dataset!B567,"mmmm")</f>
        <v>July</v>
      </c>
      <c r="K567" s="2">
        <f>MONTH([1]retail_sales_cleaned_dataset!B567)</f>
        <v>7</v>
      </c>
      <c r="L567" s="2">
        <f>YEAR([1]retail_sales_cleaned_dataset!B567)</f>
        <v>2025</v>
      </c>
      <c r="M567" s="2" t="str">
        <f t="shared" si="17"/>
        <v>36-45</v>
      </c>
    </row>
    <row r="568" spans="1:13" x14ac:dyDescent="0.25">
      <c r="A568" s="2">
        <v>567</v>
      </c>
      <c r="B568" s="1">
        <v>45866</v>
      </c>
      <c r="C568" t="s">
        <v>420</v>
      </c>
      <c r="D568" t="s">
        <v>12</v>
      </c>
      <c r="E568">
        <v>60</v>
      </c>
      <c r="F568" s="2" t="s">
        <v>13</v>
      </c>
      <c r="G568" s="2">
        <v>3</v>
      </c>
      <c r="H568" s="5">
        <v>300</v>
      </c>
      <c r="I568" s="5">
        <f t="shared" si="16"/>
        <v>900</v>
      </c>
      <c r="J568" s="2" t="str">
        <f>TEXT([1]retail_sales_cleaned_dataset!B568,"mmmm")</f>
        <v>July</v>
      </c>
      <c r="K568" s="2">
        <f>MONTH([1]retail_sales_cleaned_dataset!B568)</f>
        <v>7</v>
      </c>
      <c r="L568" s="2">
        <f>YEAR([1]retail_sales_cleaned_dataset!B568)</f>
        <v>2025</v>
      </c>
      <c r="M568" s="2" t="str">
        <f t="shared" si="17"/>
        <v>46+</v>
      </c>
    </row>
    <row r="569" spans="1:13" x14ac:dyDescent="0.25">
      <c r="A569" s="2">
        <v>568</v>
      </c>
      <c r="B569" s="1">
        <v>45866</v>
      </c>
      <c r="C569" t="s">
        <v>421</v>
      </c>
      <c r="D569" t="s">
        <v>12</v>
      </c>
      <c r="E569">
        <v>44</v>
      </c>
      <c r="F569" s="2" t="s">
        <v>15</v>
      </c>
      <c r="G569" s="2">
        <v>1</v>
      </c>
      <c r="H569" s="5">
        <v>300</v>
      </c>
      <c r="I569" s="5">
        <f t="shared" si="16"/>
        <v>300</v>
      </c>
      <c r="J569" s="2" t="str">
        <f>TEXT([1]retail_sales_cleaned_dataset!B569,"mmmm")</f>
        <v>July</v>
      </c>
      <c r="K569" s="2">
        <f>MONTH([1]retail_sales_cleaned_dataset!B569)</f>
        <v>7</v>
      </c>
      <c r="L569" s="2">
        <f>YEAR([1]retail_sales_cleaned_dataset!B569)</f>
        <v>2025</v>
      </c>
      <c r="M569" s="2" t="str">
        <f t="shared" si="17"/>
        <v>36-45</v>
      </c>
    </row>
    <row r="570" spans="1:13" x14ac:dyDescent="0.25">
      <c r="A570" s="2">
        <v>569</v>
      </c>
      <c r="B570" s="1">
        <v>45866</v>
      </c>
      <c r="C570" t="s">
        <v>422</v>
      </c>
      <c r="D570" t="s">
        <v>12</v>
      </c>
      <c r="E570">
        <v>22</v>
      </c>
      <c r="F570" s="2" t="s">
        <v>15</v>
      </c>
      <c r="G570" s="2">
        <v>4</v>
      </c>
      <c r="H570" s="5">
        <v>50</v>
      </c>
      <c r="I570" s="5">
        <f t="shared" si="16"/>
        <v>200</v>
      </c>
      <c r="J570" s="2" t="str">
        <f>TEXT([1]retail_sales_cleaned_dataset!B570,"mmmm")</f>
        <v>July</v>
      </c>
      <c r="K570" s="2">
        <f>MONTH([1]retail_sales_cleaned_dataset!B570)</f>
        <v>7</v>
      </c>
      <c r="L570" s="2">
        <f>YEAR([1]retail_sales_cleaned_dataset!B570)</f>
        <v>2025</v>
      </c>
      <c r="M570" s="2" t="str">
        <f t="shared" si="17"/>
        <v>18-25</v>
      </c>
    </row>
    <row r="571" spans="1:13" x14ac:dyDescent="0.25">
      <c r="A571" s="2">
        <v>570</v>
      </c>
      <c r="B571" s="1">
        <v>45867</v>
      </c>
      <c r="C571" t="s">
        <v>423</v>
      </c>
      <c r="D571" t="s">
        <v>12</v>
      </c>
      <c r="E571">
        <v>37</v>
      </c>
      <c r="F571" s="2" t="s">
        <v>13</v>
      </c>
      <c r="G571" s="2">
        <v>1</v>
      </c>
      <c r="H571" s="5">
        <v>500</v>
      </c>
      <c r="I571" s="5">
        <f t="shared" si="16"/>
        <v>500</v>
      </c>
      <c r="J571" s="2" t="str">
        <f>TEXT([1]retail_sales_cleaned_dataset!B571,"mmmm")</f>
        <v>July</v>
      </c>
      <c r="K571" s="2">
        <f>MONTH([1]retail_sales_cleaned_dataset!B571)</f>
        <v>7</v>
      </c>
      <c r="L571" s="2">
        <f>YEAR([1]retail_sales_cleaned_dataset!B571)</f>
        <v>2025</v>
      </c>
      <c r="M571" s="2" t="str">
        <f t="shared" si="17"/>
        <v>36-45</v>
      </c>
    </row>
    <row r="572" spans="1:13" x14ac:dyDescent="0.25">
      <c r="A572" s="2">
        <v>571</v>
      </c>
      <c r="B572" s="1">
        <v>45867</v>
      </c>
      <c r="C572" t="s">
        <v>88</v>
      </c>
      <c r="D572" t="s">
        <v>12</v>
      </c>
      <c r="E572">
        <v>28</v>
      </c>
      <c r="F572" s="2" t="s">
        <v>15</v>
      </c>
      <c r="G572" s="2">
        <v>1</v>
      </c>
      <c r="H572" s="5">
        <v>50</v>
      </c>
      <c r="I572" s="5">
        <f t="shared" si="16"/>
        <v>50</v>
      </c>
      <c r="J572" s="2" t="str">
        <f>TEXT([1]retail_sales_cleaned_dataset!B572,"mmmm")</f>
        <v>July</v>
      </c>
      <c r="K572" s="2">
        <f>MONTH([1]retail_sales_cleaned_dataset!B572)</f>
        <v>7</v>
      </c>
      <c r="L572" s="2">
        <f>YEAR([1]retail_sales_cleaned_dataset!B572)</f>
        <v>2025</v>
      </c>
      <c r="M572" s="2" t="str">
        <f t="shared" si="17"/>
        <v>26-35</v>
      </c>
    </row>
    <row r="573" spans="1:13" x14ac:dyDescent="0.25">
      <c r="A573" s="2">
        <v>572</v>
      </c>
      <c r="B573" s="1">
        <v>45868</v>
      </c>
      <c r="C573" t="s">
        <v>424</v>
      </c>
      <c r="D573" t="s">
        <v>12</v>
      </c>
      <c r="E573">
        <v>27</v>
      </c>
      <c r="F573" s="2" t="s">
        <v>13</v>
      </c>
      <c r="G573" s="2">
        <v>4</v>
      </c>
      <c r="H573" s="5">
        <v>500</v>
      </c>
      <c r="I573" s="5">
        <f t="shared" si="16"/>
        <v>2000</v>
      </c>
      <c r="J573" s="2" t="str">
        <f>TEXT([1]retail_sales_cleaned_dataset!B573,"mmmm")</f>
        <v>July</v>
      </c>
      <c r="K573" s="2">
        <f>MONTH([1]retail_sales_cleaned_dataset!B573)</f>
        <v>7</v>
      </c>
      <c r="L573" s="2">
        <f>YEAR([1]retail_sales_cleaned_dataset!B573)</f>
        <v>2025</v>
      </c>
      <c r="M573" s="2" t="str">
        <f t="shared" si="17"/>
        <v>26-35</v>
      </c>
    </row>
    <row r="574" spans="1:13" x14ac:dyDescent="0.25">
      <c r="A574" s="2">
        <v>573</v>
      </c>
      <c r="B574" s="1">
        <v>45868</v>
      </c>
      <c r="C574" t="s">
        <v>151</v>
      </c>
      <c r="D574" t="s">
        <v>9</v>
      </c>
      <c r="E574">
        <v>57</v>
      </c>
      <c r="F574" s="2" t="s">
        <v>10</v>
      </c>
      <c r="G574" s="2">
        <v>2</v>
      </c>
      <c r="H574" s="5">
        <v>30</v>
      </c>
      <c r="I574" s="5">
        <f t="shared" si="16"/>
        <v>60</v>
      </c>
      <c r="J574" s="2" t="str">
        <f>TEXT([1]retail_sales_cleaned_dataset!B574,"mmmm")</f>
        <v>July</v>
      </c>
      <c r="K574" s="2">
        <f>MONTH([1]retail_sales_cleaned_dataset!B574)</f>
        <v>7</v>
      </c>
      <c r="L574" s="2">
        <f>YEAR([1]retail_sales_cleaned_dataset!B574)</f>
        <v>2025</v>
      </c>
      <c r="M574" s="2" t="str">
        <f t="shared" si="17"/>
        <v>46+</v>
      </c>
    </row>
    <row r="575" spans="1:13" x14ac:dyDescent="0.25">
      <c r="A575" s="2">
        <v>574</v>
      </c>
      <c r="B575" s="1">
        <v>45869</v>
      </c>
      <c r="C575" t="s">
        <v>425</v>
      </c>
      <c r="D575" t="s">
        <v>12</v>
      </c>
      <c r="E575">
        <v>55</v>
      </c>
      <c r="F575" s="2" t="s">
        <v>15</v>
      </c>
      <c r="G575" s="2">
        <v>2</v>
      </c>
      <c r="H575" s="5">
        <v>25</v>
      </c>
      <c r="I575" s="5">
        <f t="shared" si="16"/>
        <v>50</v>
      </c>
      <c r="J575" s="2" t="str">
        <f>TEXT([1]retail_sales_cleaned_dataset!B575,"mmmm")</f>
        <v>July</v>
      </c>
      <c r="K575" s="2">
        <f>MONTH([1]retail_sales_cleaned_dataset!B575)</f>
        <v>7</v>
      </c>
      <c r="L575" s="2">
        <f>YEAR([1]retail_sales_cleaned_dataset!B575)</f>
        <v>2025</v>
      </c>
      <c r="M575" s="2" t="str">
        <f t="shared" si="17"/>
        <v>46+</v>
      </c>
    </row>
    <row r="576" spans="1:13" x14ac:dyDescent="0.25">
      <c r="A576" s="2">
        <v>575</v>
      </c>
      <c r="B576" s="1">
        <v>45870</v>
      </c>
      <c r="C576" t="s">
        <v>270</v>
      </c>
      <c r="D576" t="s">
        <v>9</v>
      </c>
      <c r="E576">
        <v>23</v>
      </c>
      <c r="F576" s="2" t="s">
        <v>13</v>
      </c>
      <c r="G576" s="2">
        <v>2</v>
      </c>
      <c r="H576" s="5">
        <v>50</v>
      </c>
      <c r="I576" s="5">
        <f t="shared" si="16"/>
        <v>100</v>
      </c>
      <c r="J576" s="2" t="str">
        <f>TEXT([1]retail_sales_cleaned_dataset!B576,"mmmm")</f>
        <v>August</v>
      </c>
      <c r="K576" s="2">
        <f>MONTH([1]retail_sales_cleaned_dataset!B576)</f>
        <v>8</v>
      </c>
      <c r="L576" s="2">
        <f>YEAR([1]retail_sales_cleaned_dataset!B576)</f>
        <v>2025</v>
      </c>
      <c r="M576" s="2" t="str">
        <f t="shared" si="17"/>
        <v>18-25</v>
      </c>
    </row>
    <row r="577" spans="1:13" x14ac:dyDescent="0.25">
      <c r="A577" s="2">
        <v>576</v>
      </c>
      <c r="B577" s="1">
        <v>45870</v>
      </c>
      <c r="C577" t="s">
        <v>426</v>
      </c>
      <c r="D577" t="s">
        <v>9</v>
      </c>
      <c r="E577">
        <v>25</v>
      </c>
      <c r="F577" s="2" t="s">
        <v>10</v>
      </c>
      <c r="G577" s="2">
        <v>3</v>
      </c>
      <c r="H577" s="5">
        <v>50</v>
      </c>
      <c r="I577" s="5">
        <f t="shared" si="16"/>
        <v>150</v>
      </c>
      <c r="J577" s="2" t="str">
        <f>TEXT([1]retail_sales_cleaned_dataset!B577,"mmmm")</f>
        <v>August</v>
      </c>
      <c r="K577" s="2">
        <f>MONTH([1]retail_sales_cleaned_dataset!B577)</f>
        <v>8</v>
      </c>
      <c r="L577" s="2">
        <f>YEAR([1]retail_sales_cleaned_dataset!B577)</f>
        <v>2025</v>
      </c>
      <c r="M577" s="2" t="str">
        <f t="shared" si="17"/>
        <v>18-25</v>
      </c>
    </row>
    <row r="578" spans="1:13" x14ac:dyDescent="0.25">
      <c r="A578" s="2">
        <v>577</v>
      </c>
      <c r="B578" s="1">
        <v>45870</v>
      </c>
      <c r="C578" t="s">
        <v>61</v>
      </c>
      <c r="D578" t="s">
        <v>12</v>
      </c>
      <c r="E578">
        <v>40</v>
      </c>
      <c r="F578" s="2" t="s">
        <v>10</v>
      </c>
      <c r="G578" s="2">
        <v>4</v>
      </c>
      <c r="H578" s="5">
        <v>500</v>
      </c>
      <c r="I578" s="5">
        <f t="shared" ref="I578:I641" si="18">G578*H578</f>
        <v>2000</v>
      </c>
      <c r="J578" s="2" t="str">
        <f>TEXT([1]retail_sales_cleaned_dataset!B578,"mmmm")</f>
        <v>August</v>
      </c>
      <c r="K578" s="2">
        <f>MONTH([1]retail_sales_cleaned_dataset!B578)</f>
        <v>8</v>
      </c>
      <c r="L578" s="2">
        <f>YEAR([1]retail_sales_cleaned_dataset!B578)</f>
        <v>2025</v>
      </c>
      <c r="M578" s="2" t="str">
        <f t="shared" ref="M578:M641" si="19">IF(E578&lt;=25,"18-25",IF(E578&lt;=35,"26-35",IF(E578&lt;=45,"36-45","46+")))</f>
        <v>36-45</v>
      </c>
    </row>
    <row r="579" spans="1:13" x14ac:dyDescent="0.25">
      <c r="A579" s="2">
        <v>578</v>
      </c>
      <c r="B579" s="1">
        <v>45871</v>
      </c>
      <c r="C579" t="s">
        <v>427</v>
      </c>
      <c r="D579" t="s">
        <v>9</v>
      </c>
      <c r="E579">
        <v>64</v>
      </c>
      <c r="F579" s="2" t="s">
        <v>13</v>
      </c>
      <c r="G579" s="2">
        <v>4</v>
      </c>
      <c r="H579" s="5">
        <v>30</v>
      </c>
      <c r="I579" s="5">
        <f t="shared" si="18"/>
        <v>120</v>
      </c>
      <c r="J579" s="2" t="str">
        <f>TEXT([1]retail_sales_cleaned_dataset!B579,"mmmm")</f>
        <v>August</v>
      </c>
      <c r="K579" s="2">
        <f>MONTH([1]retail_sales_cleaned_dataset!B579)</f>
        <v>8</v>
      </c>
      <c r="L579" s="2">
        <f>YEAR([1]retail_sales_cleaned_dataset!B579)</f>
        <v>2025</v>
      </c>
      <c r="M579" s="2" t="str">
        <f t="shared" si="19"/>
        <v>46+</v>
      </c>
    </row>
    <row r="580" spans="1:13" x14ac:dyDescent="0.25">
      <c r="A580" s="2">
        <v>579</v>
      </c>
      <c r="B580" s="1">
        <v>45872</v>
      </c>
      <c r="C580" t="s">
        <v>120</v>
      </c>
      <c r="D580" t="s">
        <v>12</v>
      </c>
      <c r="E580">
        <v>43</v>
      </c>
      <c r="F580" s="2" t="s">
        <v>15</v>
      </c>
      <c r="G580" s="2">
        <v>1</v>
      </c>
      <c r="H580" s="5">
        <v>30</v>
      </c>
      <c r="I580" s="5">
        <f t="shared" si="18"/>
        <v>30</v>
      </c>
      <c r="J580" s="2" t="str">
        <f>TEXT([1]retail_sales_cleaned_dataset!B580,"mmmm")</f>
        <v>August</v>
      </c>
      <c r="K580" s="2">
        <f>MONTH([1]retail_sales_cleaned_dataset!B580)</f>
        <v>8</v>
      </c>
      <c r="L580" s="2">
        <f>YEAR([1]retail_sales_cleaned_dataset!B580)</f>
        <v>2025</v>
      </c>
      <c r="M580" s="2" t="str">
        <f t="shared" si="19"/>
        <v>36-45</v>
      </c>
    </row>
    <row r="581" spans="1:13" x14ac:dyDescent="0.25">
      <c r="A581" s="2">
        <v>580</v>
      </c>
      <c r="B581" s="1">
        <v>45872</v>
      </c>
      <c r="C581" t="s">
        <v>428</v>
      </c>
      <c r="D581" t="s">
        <v>9</v>
      </c>
      <c r="E581">
        <v>63</v>
      </c>
      <c r="F581" s="2" t="s">
        <v>13</v>
      </c>
      <c r="G581" s="2">
        <v>3</v>
      </c>
      <c r="H581" s="5">
        <v>500</v>
      </c>
      <c r="I581" s="5">
        <f t="shared" si="18"/>
        <v>1500</v>
      </c>
      <c r="J581" s="2" t="str">
        <f>TEXT([1]retail_sales_cleaned_dataset!B581,"mmmm")</f>
        <v>August</v>
      </c>
      <c r="K581" s="2">
        <f>MONTH([1]retail_sales_cleaned_dataset!B581)</f>
        <v>8</v>
      </c>
      <c r="L581" s="2">
        <f>YEAR([1]retail_sales_cleaned_dataset!B581)</f>
        <v>2025</v>
      </c>
      <c r="M581" s="2" t="str">
        <f t="shared" si="19"/>
        <v>46+</v>
      </c>
    </row>
    <row r="582" spans="1:13" x14ac:dyDescent="0.25">
      <c r="A582" s="2">
        <v>581</v>
      </c>
      <c r="B582" s="1">
        <v>45872</v>
      </c>
      <c r="C582" t="s">
        <v>322</v>
      </c>
      <c r="D582" t="s">
        <v>12</v>
      </c>
      <c r="E582">
        <v>60</v>
      </c>
      <c r="F582" s="2" t="s">
        <v>10</v>
      </c>
      <c r="G582" s="2">
        <v>2</v>
      </c>
      <c r="H582" s="5">
        <v>30</v>
      </c>
      <c r="I582" s="5">
        <f t="shared" si="18"/>
        <v>60</v>
      </c>
      <c r="J582" s="2" t="str">
        <f>TEXT([1]retail_sales_cleaned_dataset!B582,"mmmm")</f>
        <v>August</v>
      </c>
      <c r="K582" s="2">
        <f>MONTH([1]retail_sales_cleaned_dataset!B582)</f>
        <v>8</v>
      </c>
      <c r="L582" s="2">
        <f>YEAR([1]retail_sales_cleaned_dataset!B582)</f>
        <v>2025</v>
      </c>
      <c r="M582" s="2" t="str">
        <f t="shared" si="19"/>
        <v>46+</v>
      </c>
    </row>
    <row r="583" spans="1:13" x14ac:dyDescent="0.25">
      <c r="A583" s="2">
        <v>582</v>
      </c>
      <c r="B583" s="1">
        <v>45873</v>
      </c>
      <c r="C583" t="s">
        <v>429</v>
      </c>
      <c r="D583" t="s">
        <v>9</v>
      </c>
      <c r="E583">
        <v>29</v>
      </c>
      <c r="F583" s="2" t="s">
        <v>13</v>
      </c>
      <c r="G583" s="2">
        <v>3</v>
      </c>
      <c r="H583" s="5">
        <v>300</v>
      </c>
      <c r="I583" s="5">
        <f t="shared" si="18"/>
        <v>900</v>
      </c>
      <c r="J583" s="2" t="str">
        <f>TEXT([1]retail_sales_cleaned_dataset!B583,"mmmm")</f>
        <v>August</v>
      </c>
      <c r="K583" s="2">
        <f>MONTH([1]retail_sales_cleaned_dataset!B583)</f>
        <v>8</v>
      </c>
      <c r="L583" s="2">
        <f>YEAR([1]retail_sales_cleaned_dataset!B583)</f>
        <v>2025</v>
      </c>
      <c r="M583" s="2" t="str">
        <f t="shared" si="19"/>
        <v>26-35</v>
      </c>
    </row>
    <row r="584" spans="1:13" x14ac:dyDescent="0.25">
      <c r="A584" s="2">
        <v>583</v>
      </c>
      <c r="B584" s="1">
        <v>45873</v>
      </c>
      <c r="C584" t="s">
        <v>426</v>
      </c>
      <c r="D584" t="s">
        <v>12</v>
      </c>
      <c r="E584">
        <v>43</v>
      </c>
      <c r="F584" s="2" t="s">
        <v>15</v>
      </c>
      <c r="G584" s="2">
        <v>4</v>
      </c>
      <c r="H584" s="5">
        <v>25</v>
      </c>
      <c r="I584" s="5">
        <f t="shared" si="18"/>
        <v>100</v>
      </c>
      <c r="J584" s="2" t="str">
        <f>TEXT([1]retail_sales_cleaned_dataset!B584,"mmmm")</f>
        <v>August</v>
      </c>
      <c r="K584" s="2">
        <f>MONTH([1]retail_sales_cleaned_dataset!B584)</f>
        <v>8</v>
      </c>
      <c r="L584" s="2">
        <f>YEAR([1]retail_sales_cleaned_dataset!B584)</f>
        <v>2025</v>
      </c>
      <c r="M584" s="2" t="str">
        <f t="shared" si="19"/>
        <v>36-45</v>
      </c>
    </row>
    <row r="585" spans="1:13" x14ac:dyDescent="0.25">
      <c r="A585" s="2">
        <v>584</v>
      </c>
      <c r="B585" s="1">
        <v>45873</v>
      </c>
      <c r="C585" t="s">
        <v>430</v>
      </c>
      <c r="D585" t="s">
        <v>12</v>
      </c>
      <c r="E585">
        <v>30</v>
      </c>
      <c r="F585" s="2" t="s">
        <v>10</v>
      </c>
      <c r="G585" s="2">
        <v>4</v>
      </c>
      <c r="H585" s="5">
        <v>50</v>
      </c>
      <c r="I585" s="5">
        <f t="shared" si="18"/>
        <v>200</v>
      </c>
      <c r="J585" s="2" t="str">
        <f>TEXT([1]retail_sales_cleaned_dataset!B585,"mmmm")</f>
        <v>August</v>
      </c>
      <c r="K585" s="2">
        <f>MONTH([1]retail_sales_cleaned_dataset!B585)</f>
        <v>8</v>
      </c>
      <c r="L585" s="2">
        <f>YEAR([1]retail_sales_cleaned_dataset!B585)</f>
        <v>2025</v>
      </c>
      <c r="M585" s="2" t="str">
        <f t="shared" si="19"/>
        <v>26-35</v>
      </c>
    </row>
    <row r="586" spans="1:13" x14ac:dyDescent="0.25">
      <c r="A586" s="2">
        <v>585</v>
      </c>
      <c r="B586" s="1">
        <v>45873</v>
      </c>
      <c r="C586" t="s">
        <v>431</v>
      </c>
      <c r="D586" t="s">
        <v>12</v>
      </c>
      <c r="E586">
        <v>57</v>
      </c>
      <c r="F586" s="2" t="s">
        <v>13</v>
      </c>
      <c r="G586" s="2">
        <v>1</v>
      </c>
      <c r="H586" s="5">
        <v>25</v>
      </c>
      <c r="I586" s="5">
        <f t="shared" si="18"/>
        <v>25</v>
      </c>
      <c r="J586" s="2" t="str">
        <f>TEXT([1]retail_sales_cleaned_dataset!B586,"mmmm")</f>
        <v>August</v>
      </c>
      <c r="K586" s="2">
        <f>MONTH([1]retail_sales_cleaned_dataset!B586)</f>
        <v>8</v>
      </c>
      <c r="L586" s="2">
        <f>YEAR([1]retail_sales_cleaned_dataset!B586)</f>
        <v>2025</v>
      </c>
      <c r="M586" s="2" t="str">
        <f t="shared" si="19"/>
        <v>46+</v>
      </c>
    </row>
    <row r="587" spans="1:13" x14ac:dyDescent="0.25">
      <c r="A587" s="2">
        <v>586</v>
      </c>
      <c r="B587" s="1">
        <v>45874</v>
      </c>
      <c r="C587" t="s">
        <v>432</v>
      </c>
      <c r="D587" t="s">
        <v>12</v>
      </c>
      <c r="E587">
        <v>35</v>
      </c>
      <c r="F587" s="2" t="s">
        <v>15</v>
      </c>
      <c r="G587" s="2">
        <v>1</v>
      </c>
      <c r="H587" s="5">
        <v>50</v>
      </c>
      <c r="I587" s="5">
        <f t="shared" si="18"/>
        <v>50</v>
      </c>
      <c r="J587" s="2" t="str">
        <f>TEXT([1]retail_sales_cleaned_dataset!B587,"mmmm")</f>
        <v>August</v>
      </c>
      <c r="K587" s="2">
        <f>MONTH([1]retail_sales_cleaned_dataset!B587)</f>
        <v>8</v>
      </c>
      <c r="L587" s="2">
        <f>YEAR([1]retail_sales_cleaned_dataset!B587)</f>
        <v>2025</v>
      </c>
      <c r="M587" s="2" t="str">
        <f t="shared" si="19"/>
        <v>26-35</v>
      </c>
    </row>
    <row r="588" spans="1:13" x14ac:dyDescent="0.25">
      <c r="A588" s="2">
        <v>587</v>
      </c>
      <c r="B588" s="1">
        <v>45874</v>
      </c>
      <c r="C588" t="s">
        <v>433</v>
      </c>
      <c r="D588" t="s">
        <v>12</v>
      </c>
      <c r="E588">
        <v>42</v>
      </c>
      <c r="F588" s="2" t="s">
        <v>10</v>
      </c>
      <c r="G588" s="2">
        <v>4</v>
      </c>
      <c r="H588" s="5">
        <v>300</v>
      </c>
      <c r="I588" s="5">
        <f t="shared" si="18"/>
        <v>1200</v>
      </c>
      <c r="J588" s="2" t="str">
        <f>TEXT([1]retail_sales_cleaned_dataset!B588,"mmmm")</f>
        <v>August</v>
      </c>
      <c r="K588" s="2">
        <f>MONTH([1]retail_sales_cleaned_dataset!B588)</f>
        <v>8</v>
      </c>
      <c r="L588" s="2">
        <f>YEAR([1]retail_sales_cleaned_dataset!B588)</f>
        <v>2025</v>
      </c>
      <c r="M588" s="2" t="str">
        <f t="shared" si="19"/>
        <v>36-45</v>
      </c>
    </row>
    <row r="589" spans="1:13" x14ac:dyDescent="0.25">
      <c r="A589" s="2">
        <v>588</v>
      </c>
      <c r="B589" s="1">
        <v>45874</v>
      </c>
      <c r="C589" t="s">
        <v>434</v>
      </c>
      <c r="D589" t="s">
        <v>9</v>
      </c>
      <c r="E589">
        <v>50</v>
      </c>
      <c r="F589" s="2" t="s">
        <v>15</v>
      </c>
      <c r="G589" s="2">
        <v>2</v>
      </c>
      <c r="H589" s="5">
        <v>30</v>
      </c>
      <c r="I589" s="5">
        <f t="shared" si="18"/>
        <v>60</v>
      </c>
      <c r="J589" s="2" t="str">
        <f>TEXT([1]retail_sales_cleaned_dataset!B589,"mmmm")</f>
        <v>August</v>
      </c>
      <c r="K589" s="2">
        <f>MONTH([1]retail_sales_cleaned_dataset!B589)</f>
        <v>8</v>
      </c>
      <c r="L589" s="2">
        <f>YEAR([1]retail_sales_cleaned_dataset!B589)</f>
        <v>2025</v>
      </c>
      <c r="M589" s="2" t="str">
        <f t="shared" si="19"/>
        <v>46+</v>
      </c>
    </row>
    <row r="590" spans="1:13" x14ac:dyDescent="0.25">
      <c r="A590" s="2">
        <v>589</v>
      </c>
      <c r="B590" s="1">
        <v>45874</v>
      </c>
      <c r="C590" t="s">
        <v>435</v>
      </c>
      <c r="D590" t="s">
        <v>9</v>
      </c>
      <c r="E590">
        <v>64</v>
      </c>
      <c r="F590" s="2" t="s">
        <v>10</v>
      </c>
      <c r="G590" s="2">
        <v>2</v>
      </c>
      <c r="H590" s="5">
        <v>500</v>
      </c>
      <c r="I590" s="5">
        <f t="shared" si="18"/>
        <v>1000</v>
      </c>
      <c r="J590" s="2" t="str">
        <f>TEXT([1]retail_sales_cleaned_dataset!B590,"mmmm")</f>
        <v>August</v>
      </c>
      <c r="K590" s="2">
        <f>MONTH([1]retail_sales_cleaned_dataset!B590)</f>
        <v>8</v>
      </c>
      <c r="L590" s="2">
        <f>YEAR([1]retail_sales_cleaned_dataset!B590)</f>
        <v>2025</v>
      </c>
      <c r="M590" s="2" t="str">
        <f t="shared" si="19"/>
        <v>46+</v>
      </c>
    </row>
    <row r="591" spans="1:13" x14ac:dyDescent="0.25">
      <c r="A591" s="2">
        <v>590</v>
      </c>
      <c r="B591" s="1">
        <v>45874</v>
      </c>
      <c r="C591" t="s">
        <v>436</v>
      </c>
      <c r="D591" t="s">
        <v>9</v>
      </c>
      <c r="E591">
        <v>57</v>
      </c>
      <c r="F591" s="2" t="s">
        <v>13</v>
      </c>
      <c r="G591" s="2">
        <v>3</v>
      </c>
      <c r="H591" s="5">
        <v>300</v>
      </c>
      <c r="I591" s="5">
        <f t="shared" si="18"/>
        <v>900</v>
      </c>
      <c r="J591" s="2" t="str">
        <f>TEXT([1]retail_sales_cleaned_dataset!B591,"mmmm")</f>
        <v>August</v>
      </c>
      <c r="K591" s="2">
        <f>MONTH([1]retail_sales_cleaned_dataset!B591)</f>
        <v>8</v>
      </c>
      <c r="L591" s="2">
        <f>YEAR([1]retail_sales_cleaned_dataset!B591)</f>
        <v>2025</v>
      </c>
      <c r="M591" s="2" t="str">
        <f t="shared" si="19"/>
        <v>46+</v>
      </c>
    </row>
    <row r="592" spans="1:13" x14ac:dyDescent="0.25">
      <c r="A592" s="2">
        <v>591</v>
      </c>
      <c r="B592" s="1">
        <v>45874</v>
      </c>
      <c r="C592" t="s">
        <v>437</v>
      </c>
      <c r="D592" t="s">
        <v>12</v>
      </c>
      <c r="E592">
        <v>60</v>
      </c>
      <c r="F592" s="2" t="s">
        <v>15</v>
      </c>
      <c r="G592" s="2">
        <v>4</v>
      </c>
      <c r="H592" s="5">
        <v>25</v>
      </c>
      <c r="I592" s="5">
        <f t="shared" si="18"/>
        <v>100</v>
      </c>
      <c r="J592" s="2" t="str">
        <f>TEXT([1]retail_sales_cleaned_dataset!B592,"mmmm")</f>
        <v>August</v>
      </c>
      <c r="K592" s="2">
        <f>MONTH([1]retail_sales_cleaned_dataset!B592)</f>
        <v>8</v>
      </c>
      <c r="L592" s="2">
        <f>YEAR([1]retail_sales_cleaned_dataset!B592)</f>
        <v>2025</v>
      </c>
      <c r="M592" s="2" t="str">
        <f t="shared" si="19"/>
        <v>46+</v>
      </c>
    </row>
    <row r="593" spans="1:13" x14ac:dyDescent="0.25">
      <c r="A593" s="2">
        <v>592</v>
      </c>
      <c r="B593" s="1">
        <v>45874</v>
      </c>
      <c r="C593" t="s">
        <v>438</v>
      </c>
      <c r="D593" t="s">
        <v>9</v>
      </c>
      <c r="E593">
        <v>29</v>
      </c>
      <c r="F593" s="2" t="s">
        <v>10</v>
      </c>
      <c r="G593" s="2">
        <v>4</v>
      </c>
      <c r="H593" s="5">
        <v>500</v>
      </c>
      <c r="I593" s="5">
        <f t="shared" si="18"/>
        <v>2000</v>
      </c>
      <c r="J593" s="2" t="str">
        <f>TEXT([1]retail_sales_cleaned_dataset!B593,"mmmm")</f>
        <v>August</v>
      </c>
      <c r="K593" s="2">
        <f>MONTH([1]retail_sales_cleaned_dataset!B593)</f>
        <v>8</v>
      </c>
      <c r="L593" s="2">
        <f>YEAR([1]retail_sales_cleaned_dataset!B593)</f>
        <v>2025</v>
      </c>
      <c r="M593" s="2" t="str">
        <f t="shared" si="19"/>
        <v>26-35</v>
      </c>
    </row>
    <row r="594" spans="1:13" x14ac:dyDescent="0.25">
      <c r="A594" s="2">
        <v>593</v>
      </c>
      <c r="B594" s="1">
        <v>45874</v>
      </c>
      <c r="C594" t="s">
        <v>439</v>
      </c>
      <c r="D594" t="s">
        <v>12</v>
      </c>
      <c r="E594">
        <v>61</v>
      </c>
      <c r="F594" s="2" t="s">
        <v>15</v>
      </c>
      <c r="G594" s="2">
        <v>2</v>
      </c>
      <c r="H594" s="5">
        <v>30</v>
      </c>
      <c r="I594" s="5">
        <f t="shared" si="18"/>
        <v>60</v>
      </c>
      <c r="J594" s="2" t="str">
        <f>TEXT([1]retail_sales_cleaned_dataset!B594,"mmmm")</f>
        <v>August</v>
      </c>
      <c r="K594" s="2">
        <f>MONTH([1]retail_sales_cleaned_dataset!B594)</f>
        <v>8</v>
      </c>
      <c r="L594" s="2">
        <f>YEAR([1]retail_sales_cleaned_dataset!B594)</f>
        <v>2025</v>
      </c>
      <c r="M594" s="2" t="str">
        <f t="shared" si="19"/>
        <v>46+</v>
      </c>
    </row>
    <row r="595" spans="1:13" x14ac:dyDescent="0.25">
      <c r="A595" s="2">
        <v>594</v>
      </c>
      <c r="B595" s="1">
        <v>45875</v>
      </c>
      <c r="C595" t="s">
        <v>440</v>
      </c>
      <c r="D595" t="s">
        <v>12</v>
      </c>
      <c r="E595">
        <v>53</v>
      </c>
      <c r="F595" s="2" t="s">
        <v>15</v>
      </c>
      <c r="G595" s="2">
        <v>2</v>
      </c>
      <c r="H595" s="5">
        <v>300</v>
      </c>
      <c r="I595" s="5">
        <f t="shared" si="18"/>
        <v>600</v>
      </c>
      <c r="J595" s="2" t="str">
        <f>TEXT([1]retail_sales_cleaned_dataset!B595,"mmmm")</f>
        <v>August</v>
      </c>
      <c r="K595" s="2">
        <f>MONTH([1]retail_sales_cleaned_dataset!B595)</f>
        <v>8</v>
      </c>
      <c r="L595" s="2">
        <f>YEAR([1]retail_sales_cleaned_dataset!B595)</f>
        <v>2025</v>
      </c>
      <c r="M595" s="2" t="str">
        <f t="shared" si="19"/>
        <v>46+</v>
      </c>
    </row>
    <row r="596" spans="1:13" x14ac:dyDescent="0.25">
      <c r="A596" s="2">
        <v>595</v>
      </c>
      <c r="B596" s="1">
        <v>45875</v>
      </c>
      <c r="C596" t="s">
        <v>441</v>
      </c>
      <c r="D596" t="s">
        <v>9</v>
      </c>
      <c r="E596">
        <v>21</v>
      </c>
      <c r="F596" s="2" t="s">
        <v>13</v>
      </c>
      <c r="G596" s="2">
        <v>4</v>
      </c>
      <c r="H596" s="5">
        <v>500</v>
      </c>
      <c r="I596" s="5">
        <f t="shared" si="18"/>
        <v>2000</v>
      </c>
      <c r="J596" s="2" t="str">
        <f>TEXT([1]retail_sales_cleaned_dataset!B596,"mmmm")</f>
        <v>August</v>
      </c>
      <c r="K596" s="2">
        <f>MONTH([1]retail_sales_cleaned_dataset!B596)</f>
        <v>8</v>
      </c>
      <c r="L596" s="2">
        <f>YEAR([1]retail_sales_cleaned_dataset!B596)</f>
        <v>2025</v>
      </c>
      <c r="M596" s="2" t="str">
        <f t="shared" si="19"/>
        <v>18-25</v>
      </c>
    </row>
    <row r="597" spans="1:13" x14ac:dyDescent="0.25">
      <c r="A597" s="2">
        <v>596</v>
      </c>
      <c r="B597" s="1">
        <v>45876</v>
      </c>
      <c r="C597" t="s">
        <v>442</v>
      </c>
      <c r="D597" t="s">
        <v>9</v>
      </c>
      <c r="E597">
        <v>22</v>
      </c>
      <c r="F597" s="2" t="s">
        <v>15</v>
      </c>
      <c r="G597" s="2">
        <v>1</v>
      </c>
      <c r="H597" s="5">
        <v>300</v>
      </c>
      <c r="I597" s="5">
        <f t="shared" si="18"/>
        <v>300</v>
      </c>
      <c r="J597" s="2" t="str">
        <f>TEXT([1]retail_sales_cleaned_dataset!B597,"mmmm")</f>
        <v>August</v>
      </c>
      <c r="K597" s="2">
        <f>MONTH([1]retail_sales_cleaned_dataset!B597)</f>
        <v>8</v>
      </c>
      <c r="L597" s="2">
        <f>YEAR([1]retail_sales_cleaned_dataset!B597)</f>
        <v>2025</v>
      </c>
      <c r="M597" s="2" t="str">
        <f t="shared" si="19"/>
        <v>18-25</v>
      </c>
    </row>
    <row r="598" spans="1:13" x14ac:dyDescent="0.25">
      <c r="A598" s="2">
        <v>597</v>
      </c>
      <c r="B598" s="1">
        <v>45876</v>
      </c>
      <c r="C598" t="s">
        <v>443</v>
      </c>
      <c r="D598" t="s">
        <v>12</v>
      </c>
      <c r="E598">
        <v>54</v>
      </c>
      <c r="F598" s="2" t="s">
        <v>10</v>
      </c>
      <c r="G598" s="2">
        <v>4</v>
      </c>
      <c r="H598" s="5">
        <v>300</v>
      </c>
      <c r="I598" s="5">
        <f t="shared" si="18"/>
        <v>1200</v>
      </c>
      <c r="J598" s="2" t="str">
        <f>TEXT([1]retail_sales_cleaned_dataset!B598,"mmmm")</f>
        <v>August</v>
      </c>
      <c r="K598" s="2">
        <f>MONTH([1]retail_sales_cleaned_dataset!B598)</f>
        <v>8</v>
      </c>
      <c r="L598" s="2">
        <f>YEAR([1]retail_sales_cleaned_dataset!B598)</f>
        <v>2025</v>
      </c>
      <c r="M598" s="2" t="str">
        <f t="shared" si="19"/>
        <v>46+</v>
      </c>
    </row>
    <row r="599" spans="1:13" x14ac:dyDescent="0.25">
      <c r="A599" s="2">
        <v>598</v>
      </c>
      <c r="B599" s="1">
        <v>45877</v>
      </c>
      <c r="C599" t="s">
        <v>444</v>
      </c>
      <c r="D599" t="s">
        <v>9</v>
      </c>
      <c r="E599">
        <v>25</v>
      </c>
      <c r="F599" s="2" t="s">
        <v>10</v>
      </c>
      <c r="G599" s="2">
        <v>4</v>
      </c>
      <c r="H599" s="5">
        <v>30</v>
      </c>
      <c r="I599" s="5">
        <f t="shared" si="18"/>
        <v>120</v>
      </c>
      <c r="J599" s="2" t="str">
        <f>TEXT([1]retail_sales_cleaned_dataset!B599,"mmmm")</f>
        <v>August</v>
      </c>
      <c r="K599" s="2">
        <f>MONTH([1]retail_sales_cleaned_dataset!B599)</f>
        <v>8</v>
      </c>
      <c r="L599" s="2">
        <f>YEAR([1]retail_sales_cleaned_dataset!B599)</f>
        <v>2025</v>
      </c>
      <c r="M599" s="2" t="str">
        <f t="shared" si="19"/>
        <v>18-25</v>
      </c>
    </row>
    <row r="600" spans="1:13" x14ac:dyDescent="0.25">
      <c r="A600" s="2">
        <v>599</v>
      </c>
      <c r="B600" s="1">
        <v>45877</v>
      </c>
      <c r="C600" t="s">
        <v>445</v>
      </c>
      <c r="D600" t="s">
        <v>12</v>
      </c>
      <c r="E600">
        <v>59</v>
      </c>
      <c r="F600" s="2" t="s">
        <v>10</v>
      </c>
      <c r="G600" s="2">
        <v>2</v>
      </c>
      <c r="H600" s="5">
        <v>50</v>
      </c>
      <c r="I600" s="5">
        <f t="shared" si="18"/>
        <v>100</v>
      </c>
      <c r="J600" s="2" t="str">
        <f>TEXT([1]retail_sales_cleaned_dataset!B600,"mmmm")</f>
        <v>August</v>
      </c>
      <c r="K600" s="2">
        <f>MONTH([1]retail_sales_cleaned_dataset!B600)</f>
        <v>8</v>
      </c>
      <c r="L600" s="2">
        <f>YEAR([1]retail_sales_cleaned_dataset!B600)</f>
        <v>2025</v>
      </c>
      <c r="M600" s="2" t="str">
        <f t="shared" si="19"/>
        <v>46+</v>
      </c>
    </row>
    <row r="601" spans="1:13" x14ac:dyDescent="0.25">
      <c r="A601" s="2">
        <v>600</v>
      </c>
      <c r="B601" s="1">
        <v>45877</v>
      </c>
      <c r="C601" t="s">
        <v>446</v>
      </c>
      <c r="D601" t="s">
        <v>12</v>
      </c>
      <c r="E601">
        <v>45</v>
      </c>
      <c r="F601" s="2" t="s">
        <v>10</v>
      </c>
      <c r="G601" s="2">
        <v>2</v>
      </c>
      <c r="H601" s="5">
        <v>500</v>
      </c>
      <c r="I601" s="5">
        <f t="shared" si="18"/>
        <v>1000</v>
      </c>
      <c r="J601" s="2" t="str">
        <f>TEXT([1]retail_sales_cleaned_dataset!B601,"mmmm")</f>
        <v>August</v>
      </c>
      <c r="K601" s="2">
        <f>MONTH([1]retail_sales_cleaned_dataset!B601)</f>
        <v>8</v>
      </c>
      <c r="L601" s="2">
        <f>YEAR([1]retail_sales_cleaned_dataset!B601)</f>
        <v>2025</v>
      </c>
      <c r="M601" s="2" t="str">
        <f t="shared" si="19"/>
        <v>36-45</v>
      </c>
    </row>
    <row r="602" spans="1:13" x14ac:dyDescent="0.25">
      <c r="A602" s="2">
        <v>601</v>
      </c>
      <c r="B602" s="1">
        <v>45877</v>
      </c>
      <c r="C602" t="s">
        <v>30</v>
      </c>
      <c r="D602" t="s">
        <v>12</v>
      </c>
      <c r="E602">
        <v>48</v>
      </c>
      <c r="F602" s="2" t="s">
        <v>13</v>
      </c>
      <c r="G602" s="2">
        <v>1</v>
      </c>
      <c r="H602" s="5">
        <v>30</v>
      </c>
      <c r="I602" s="5">
        <f t="shared" si="18"/>
        <v>30</v>
      </c>
      <c r="J602" s="2" t="str">
        <f>TEXT([1]retail_sales_cleaned_dataset!B602,"mmmm")</f>
        <v>August</v>
      </c>
      <c r="K602" s="2">
        <f>MONTH([1]retail_sales_cleaned_dataset!B602)</f>
        <v>8</v>
      </c>
      <c r="L602" s="2">
        <f>YEAR([1]retail_sales_cleaned_dataset!B602)</f>
        <v>2025</v>
      </c>
      <c r="M602" s="2" t="str">
        <f t="shared" si="19"/>
        <v>46+</v>
      </c>
    </row>
    <row r="603" spans="1:13" x14ac:dyDescent="0.25">
      <c r="A603" s="2">
        <v>602</v>
      </c>
      <c r="B603" s="1">
        <v>45878</v>
      </c>
      <c r="C603" t="s">
        <v>447</v>
      </c>
      <c r="D603" t="s">
        <v>12</v>
      </c>
      <c r="E603">
        <v>26</v>
      </c>
      <c r="F603" s="2" t="s">
        <v>15</v>
      </c>
      <c r="G603" s="2">
        <v>1</v>
      </c>
      <c r="H603" s="5">
        <v>300</v>
      </c>
      <c r="I603" s="5">
        <f t="shared" si="18"/>
        <v>300</v>
      </c>
      <c r="J603" s="2" t="str">
        <f>TEXT([1]retail_sales_cleaned_dataset!B603,"mmmm")</f>
        <v>August</v>
      </c>
      <c r="K603" s="2">
        <f>MONTH([1]retail_sales_cleaned_dataset!B603)</f>
        <v>8</v>
      </c>
      <c r="L603" s="2">
        <f>YEAR([1]retail_sales_cleaned_dataset!B603)</f>
        <v>2025</v>
      </c>
      <c r="M603" s="2" t="str">
        <f t="shared" si="19"/>
        <v>26-35</v>
      </c>
    </row>
    <row r="604" spans="1:13" x14ac:dyDescent="0.25">
      <c r="A604" s="2">
        <v>603</v>
      </c>
      <c r="B604" s="1">
        <v>45878</v>
      </c>
      <c r="C604" t="s">
        <v>123</v>
      </c>
      <c r="D604" t="s">
        <v>12</v>
      </c>
      <c r="E604">
        <v>46</v>
      </c>
      <c r="F604" s="2" t="s">
        <v>13</v>
      </c>
      <c r="G604" s="2">
        <v>3</v>
      </c>
      <c r="H604" s="5">
        <v>30</v>
      </c>
      <c r="I604" s="5">
        <f t="shared" si="18"/>
        <v>90</v>
      </c>
      <c r="J604" s="2" t="str">
        <f>TEXT([1]retail_sales_cleaned_dataset!B604,"mmmm")</f>
        <v>August</v>
      </c>
      <c r="K604" s="2">
        <f>MONTH([1]retail_sales_cleaned_dataset!B604)</f>
        <v>8</v>
      </c>
      <c r="L604" s="2">
        <f>YEAR([1]retail_sales_cleaned_dataset!B604)</f>
        <v>2025</v>
      </c>
      <c r="M604" s="2" t="str">
        <f t="shared" si="19"/>
        <v>46+</v>
      </c>
    </row>
    <row r="605" spans="1:13" x14ac:dyDescent="0.25">
      <c r="A605" s="2">
        <v>604</v>
      </c>
      <c r="B605" s="1">
        <v>45878</v>
      </c>
      <c r="C605" t="s">
        <v>448</v>
      </c>
      <c r="D605" t="s">
        <v>9</v>
      </c>
      <c r="E605">
        <v>31</v>
      </c>
      <c r="F605" s="2" t="s">
        <v>15</v>
      </c>
      <c r="G605" s="2">
        <v>4</v>
      </c>
      <c r="H605" s="5">
        <v>50</v>
      </c>
      <c r="I605" s="5">
        <f t="shared" si="18"/>
        <v>200</v>
      </c>
      <c r="J605" s="2" t="str">
        <f>TEXT([1]retail_sales_cleaned_dataset!B605,"mmmm")</f>
        <v>August</v>
      </c>
      <c r="K605" s="2">
        <f>MONTH([1]retail_sales_cleaned_dataset!B605)</f>
        <v>8</v>
      </c>
      <c r="L605" s="2">
        <f>YEAR([1]retail_sales_cleaned_dataset!B605)</f>
        <v>2025</v>
      </c>
      <c r="M605" s="2" t="str">
        <f t="shared" si="19"/>
        <v>26-35</v>
      </c>
    </row>
    <row r="606" spans="1:13" x14ac:dyDescent="0.25">
      <c r="A606" s="2">
        <v>605</v>
      </c>
      <c r="B606" s="1">
        <v>45878</v>
      </c>
      <c r="C606" t="s">
        <v>125</v>
      </c>
      <c r="D606" t="s">
        <v>9</v>
      </c>
      <c r="E606">
        <v>57</v>
      </c>
      <c r="F606" s="2" t="s">
        <v>15</v>
      </c>
      <c r="G606" s="2">
        <v>2</v>
      </c>
      <c r="H606" s="5">
        <v>500</v>
      </c>
      <c r="I606" s="5">
        <f t="shared" si="18"/>
        <v>1000</v>
      </c>
      <c r="J606" s="2" t="str">
        <f>TEXT([1]retail_sales_cleaned_dataset!B606,"mmmm")</f>
        <v>August</v>
      </c>
      <c r="K606" s="2">
        <f>MONTH([1]retail_sales_cleaned_dataset!B606)</f>
        <v>8</v>
      </c>
      <c r="L606" s="2">
        <f>YEAR([1]retail_sales_cleaned_dataset!B606)</f>
        <v>2025</v>
      </c>
      <c r="M606" s="2" t="str">
        <f t="shared" si="19"/>
        <v>46+</v>
      </c>
    </row>
    <row r="607" spans="1:13" x14ac:dyDescent="0.25">
      <c r="A607" s="2">
        <v>606</v>
      </c>
      <c r="B607" s="1">
        <v>45879</v>
      </c>
      <c r="C607" t="s">
        <v>449</v>
      </c>
      <c r="D607" t="s">
        <v>12</v>
      </c>
      <c r="E607">
        <v>58</v>
      </c>
      <c r="F607" s="2" t="s">
        <v>15</v>
      </c>
      <c r="G607" s="2">
        <v>1</v>
      </c>
      <c r="H607" s="5">
        <v>50</v>
      </c>
      <c r="I607" s="5">
        <f t="shared" si="18"/>
        <v>50</v>
      </c>
      <c r="J607" s="2" t="str">
        <f>TEXT([1]retail_sales_cleaned_dataset!B607,"mmmm")</f>
        <v>August</v>
      </c>
      <c r="K607" s="2">
        <f>MONTH([1]retail_sales_cleaned_dataset!B607)</f>
        <v>8</v>
      </c>
      <c r="L607" s="2">
        <f>YEAR([1]retail_sales_cleaned_dataset!B607)</f>
        <v>2025</v>
      </c>
      <c r="M607" s="2" t="str">
        <f t="shared" si="19"/>
        <v>46+</v>
      </c>
    </row>
    <row r="608" spans="1:13" x14ac:dyDescent="0.25">
      <c r="A608" s="2">
        <v>607</v>
      </c>
      <c r="B608" s="1">
        <v>45880</v>
      </c>
      <c r="C608" t="s">
        <v>120</v>
      </c>
      <c r="D608" t="s">
        <v>12</v>
      </c>
      <c r="E608">
        <v>39</v>
      </c>
      <c r="F608" s="2" t="s">
        <v>13</v>
      </c>
      <c r="G608" s="2">
        <v>3</v>
      </c>
      <c r="H608" s="5">
        <v>25</v>
      </c>
      <c r="I608" s="5">
        <f t="shared" si="18"/>
        <v>75</v>
      </c>
      <c r="J608" s="2" t="str">
        <f>TEXT([1]retail_sales_cleaned_dataset!B608,"mmmm")</f>
        <v>August</v>
      </c>
      <c r="K608" s="2">
        <f>MONTH([1]retail_sales_cleaned_dataset!B608)</f>
        <v>8</v>
      </c>
      <c r="L608" s="2">
        <f>YEAR([1]retail_sales_cleaned_dataset!B608)</f>
        <v>2025</v>
      </c>
      <c r="M608" s="2" t="str">
        <f t="shared" si="19"/>
        <v>36-45</v>
      </c>
    </row>
    <row r="609" spans="1:13" x14ac:dyDescent="0.25">
      <c r="A609" s="2">
        <v>608</v>
      </c>
      <c r="B609" s="1">
        <v>45880</v>
      </c>
      <c r="C609" t="s">
        <v>450</v>
      </c>
      <c r="D609" t="s">
        <v>9</v>
      </c>
      <c r="E609">
        <v>28</v>
      </c>
      <c r="F609" s="2" t="s">
        <v>15</v>
      </c>
      <c r="G609" s="2">
        <v>3</v>
      </c>
      <c r="H609" s="5">
        <v>500</v>
      </c>
      <c r="I609" s="5">
        <f t="shared" si="18"/>
        <v>1500</v>
      </c>
      <c r="J609" s="2" t="str">
        <f>TEXT([1]retail_sales_cleaned_dataset!B609,"mmmm")</f>
        <v>August</v>
      </c>
      <c r="K609" s="2">
        <f>MONTH([1]retail_sales_cleaned_dataset!B609)</f>
        <v>8</v>
      </c>
      <c r="L609" s="2">
        <f>YEAR([1]retail_sales_cleaned_dataset!B609)</f>
        <v>2025</v>
      </c>
      <c r="M609" s="2" t="str">
        <f t="shared" si="19"/>
        <v>26-35</v>
      </c>
    </row>
    <row r="610" spans="1:13" x14ac:dyDescent="0.25">
      <c r="A610" s="2">
        <v>609</v>
      </c>
      <c r="B610" s="1">
        <v>45880</v>
      </c>
      <c r="C610" t="s">
        <v>225</v>
      </c>
      <c r="D610" t="s">
        <v>9</v>
      </c>
      <c r="E610">
        <v>40</v>
      </c>
      <c r="F610" s="2" t="s">
        <v>13</v>
      </c>
      <c r="G610" s="2">
        <v>2</v>
      </c>
      <c r="H610" s="5">
        <v>50</v>
      </c>
      <c r="I610" s="5">
        <f t="shared" si="18"/>
        <v>100</v>
      </c>
      <c r="J610" s="2" t="str">
        <f>TEXT([1]retail_sales_cleaned_dataset!B610,"mmmm")</f>
        <v>August</v>
      </c>
      <c r="K610" s="2">
        <f>MONTH([1]retail_sales_cleaned_dataset!B610)</f>
        <v>8</v>
      </c>
      <c r="L610" s="2">
        <f>YEAR([1]retail_sales_cleaned_dataset!B610)</f>
        <v>2025</v>
      </c>
      <c r="M610" s="2" t="str">
        <f t="shared" si="19"/>
        <v>36-45</v>
      </c>
    </row>
    <row r="611" spans="1:13" x14ac:dyDescent="0.25">
      <c r="A611" s="2">
        <v>610</v>
      </c>
      <c r="B611" s="1">
        <v>45881</v>
      </c>
      <c r="C611" t="s">
        <v>451</v>
      </c>
      <c r="D611" t="s">
        <v>12</v>
      </c>
      <c r="E611">
        <v>18</v>
      </c>
      <c r="F611" s="2" t="s">
        <v>10</v>
      </c>
      <c r="G611" s="2">
        <v>2</v>
      </c>
      <c r="H611" s="5">
        <v>300</v>
      </c>
      <c r="I611" s="5">
        <f t="shared" si="18"/>
        <v>600</v>
      </c>
      <c r="J611" s="2" t="str">
        <f>TEXT([1]retail_sales_cleaned_dataset!B611,"mmmm")</f>
        <v>August</v>
      </c>
      <c r="K611" s="2">
        <f>MONTH([1]retail_sales_cleaned_dataset!B611)</f>
        <v>8</v>
      </c>
      <c r="L611" s="2">
        <f>YEAR([1]retail_sales_cleaned_dataset!B611)</f>
        <v>2025</v>
      </c>
      <c r="M611" s="2" t="str">
        <f t="shared" si="19"/>
        <v>18-25</v>
      </c>
    </row>
    <row r="612" spans="1:13" x14ac:dyDescent="0.25">
      <c r="A612" s="2">
        <v>611</v>
      </c>
      <c r="B612" s="1">
        <v>45881</v>
      </c>
      <c r="C612" t="s">
        <v>423</v>
      </c>
      <c r="D612" t="s">
        <v>9</v>
      </c>
      <c r="E612">
        <v>63</v>
      </c>
      <c r="F612" s="2" t="s">
        <v>10</v>
      </c>
      <c r="G612" s="2">
        <v>3</v>
      </c>
      <c r="H612" s="5">
        <v>500</v>
      </c>
      <c r="I612" s="5">
        <f t="shared" si="18"/>
        <v>1500</v>
      </c>
      <c r="J612" s="2" t="str">
        <f>TEXT([1]retail_sales_cleaned_dataset!B612,"mmmm")</f>
        <v>August</v>
      </c>
      <c r="K612" s="2">
        <f>MONTH([1]retail_sales_cleaned_dataset!B612)</f>
        <v>8</v>
      </c>
      <c r="L612" s="2">
        <f>YEAR([1]retail_sales_cleaned_dataset!B612)</f>
        <v>2025</v>
      </c>
      <c r="M612" s="2" t="str">
        <f t="shared" si="19"/>
        <v>46+</v>
      </c>
    </row>
    <row r="613" spans="1:13" x14ac:dyDescent="0.25">
      <c r="A613" s="2">
        <v>612</v>
      </c>
      <c r="B613" s="1">
        <v>45881</v>
      </c>
      <c r="C613" t="s">
        <v>452</v>
      </c>
      <c r="D613" t="s">
        <v>12</v>
      </c>
      <c r="E613">
        <v>54</v>
      </c>
      <c r="F613" s="2" t="s">
        <v>15</v>
      </c>
      <c r="G613" s="2">
        <v>1</v>
      </c>
      <c r="H613" s="5">
        <v>500</v>
      </c>
      <c r="I613" s="5">
        <f t="shared" si="18"/>
        <v>500</v>
      </c>
      <c r="J613" s="2" t="str">
        <f>TEXT([1]retail_sales_cleaned_dataset!B613,"mmmm")</f>
        <v>August</v>
      </c>
      <c r="K613" s="2">
        <f>MONTH([1]retail_sales_cleaned_dataset!B613)</f>
        <v>8</v>
      </c>
      <c r="L613" s="2">
        <f>YEAR([1]retail_sales_cleaned_dataset!B613)</f>
        <v>2025</v>
      </c>
      <c r="M613" s="2" t="str">
        <f t="shared" si="19"/>
        <v>46+</v>
      </c>
    </row>
    <row r="614" spans="1:13" x14ac:dyDescent="0.25">
      <c r="A614" s="2">
        <v>613</v>
      </c>
      <c r="B614" s="1">
        <v>45881</v>
      </c>
      <c r="C614" t="s">
        <v>424</v>
      </c>
      <c r="D614" t="s">
        <v>9</v>
      </c>
      <c r="E614">
        <v>38</v>
      </c>
      <c r="F614" s="2" t="s">
        <v>13</v>
      </c>
      <c r="G614" s="2">
        <v>3</v>
      </c>
      <c r="H614" s="5">
        <v>30</v>
      </c>
      <c r="I614" s="5">
        <f t="shared" si="18"/>
        <v>90</v>
      </c>
      <c r="J614" s="2" t="str">
        <f>TEXT([1]retail_sales_cleaned_dataset!B614,"mmmm")</f>
        <v>August</v>
      </c>
      <c r="K614" s="2">
        <f>MONTH([1]retail_sales_cleaned_dataset!B614)</f>
        <v>8</v>
      </c>
      <c r="L614" s="2">
        <f>YEAR([1]retail_sales_cleaned_dataset!B614)</f>
        <v>2025</v>
      </c>
      <c r="M614" s="2" t="str">
        <f t="shared" si="19"/>
        <v>36-45</v>
      </c>
    </row>
    <row r="615" spans="1:13" x14ac:dyDescent="0.25">
      <c r="A615" s="2">
        <v>614</v>
      </c>
      <c r="B615" s="1">
        <v>45882</v>
      </c>
      <c r="C615" t="s">
        <v>453</v>
      </c>
      <c r="D615" t="s">
        <v>12</v>
      </c>
      <c r="E615">
        <v>43</v>
      </c>
      <c r="F615" s="2" t="s">
        <v>10</v>
      </c>
      <c r="G615" s="2">
        <v>4</v>
      </c>
      <c r="H615" s="5">
        <v>300</v>
      </c>
      <c r="I615" s="5">
        <f t="shared" si="18"/>
        <v>1200</v>
      </c>
      <c r="J615" s="2" t="str">
        <f>TEXT([1]retail_sales_cleaned_dataset!B615,"mmmm")</f>
        <v>August</v>
      </c>
      <c r="K615" s="2">
        <f>MONTH([1]retail_sales_cleaned_dataset!B615)</f>
        <v>8</v>
      </c>
      <c r="L615" s="2">
        <f>YEAR([1]retail_sales_cleaned_dataset!B615)</f>
        <v>2025</v>
      </c>
      <c r="M615" s="2" t="str">
        <f t="shared" si="19"/>
        <v>36-45</v>
      </c>
    </row>
    <row r="616" spans="1:13" x14ac:dyDescent="0.25">
      <c r="A616" s="2">
        <v>615</v>
      </c>
      <c r="B616" s="1">
        <v>45882</v>
      </c>
      <c r="C616" t="s">
        <v>454</v>
      </c>
      <c r="D616" t="s">
        <v>9</v>
      </c>
      <c r="E616">
        <v>63</v>
      </c>
      <c r="F616" s="2" t="s">
        <v>13</v>
      </c>
      <c r="G616" s="2">
        <v>4</v>
      </c>
      <c r="H616" s="5">
        <v>25</v>
      </c>
      <c r="I616" s="5">
        <f t="shared" si="18"/>
        <v>100</v>
      </c>
      <c r="J616" s="2" t="str">
        <f>TEXT([1]retail_sales_cleaned_dataset!B616,"mmmm")</f>
        <v>August</v>
      </c>
      <c r="K616" s="2">
        <f>MONTH([1]retail_sales_cleaned_dataset!B616)</f>
        <v>8</v>
      </c>
      <c r="L616" s="2">
        <f>YEAR([1]retail_sales_cleaned_dataset!B616)</f>
        <v>2025</v>
      </c>
      <c r="M616" s="2" t="str">
        <f t="shared" si="19"/>
        <v>46+</v>
      </c>
    </row>
    <row r="617" spans="1:13" x14ac:dyDescent="0.25">
      <c r="A617" s="2">
        <v>616</v>
      </c>
      <c r="B617" s="1">
        <v>45883</v>
      </c>
      <c r="C617" t="s">
        <v>455</v>
      </c>
      <c r="D617" t="s">
        <v>12</v>
      </c>
      <c r="E617">
        <v>53</v>
      </c>
      <c r="F617" s="2" t="s">
        <v>13</v>
      </c>
      <c r="G617" s="2">
        <v>2</v>
      </c>
      <c r="H617" s="5">
        <v>50</v>
      </c>
      <c r="I617" s="5">
        <f t="shared" si="18"/>
        <v>100</v>
      </c>
      <c r="J617" s="2" t="str">
        <f>TEXT([1]retail_sales_cleaned_dataset!B617,"mmmm")</f>
        <v>August</v>
      </c>
      <c r="K617" s="2">
        <f>MONTH([1]retail_sales_cleaned_dataset!B617)</f>
        <v>8</v>
      </c>
      <c r="L617" s="2">
        <f>YEAR([1]retail_sales_cleaned_dataset!B617)</f>
        <v>2025</v>
      </c>
      <c r="M617" s="2" t="str">
        <f t="shared" si="19"/>
        <v>46+</v>
      </c>
    </row>
    <row r="618" spans="1:13" x14ac:dyDescent="0.25">
      <c r="A618" s="2">
        <v>617</v>
      </c>
      <c r="B618" s="1">
        <v>45883</v>
      </c>
      <c r="C618" t="s">
        <v>456</v>
      </c>
      <c r="D618" t="s">
        <v>9</v>
      </c>
      <c r="E618">
        <v>40</v>
      </c>
      <c r="F618" s="2" t="s">
        <v>15</v>
      </c>
      <c r="G618" s="2">
        <v>1</v>
      </c>
      <c r="H618" s="5">
        <v>30</v>
      </c>
      <c r="I618" s="5">
        <f t="shared" si="18"/>
        <v>30</v>
      </c>
      <c r="J618" s="2" t="str">
        <f>TEXT([1]retail_sales_cleaned_dataset!B618,"mmmm")</f>
        <v>August</v>
      </c>
      <c r="K618" s="2">
        <f>MONTH([1]retail_sales_cleaned_dataset!B618)</f>
        <v>8</v>
      </c>
      <c r="L618" s="2">
        <f>YEAR([1]retail_sales_cleaned_dataset!B618)</f>
        <v>2025</v>
      </c>
      <c r="M618" s="2" t="str">
        <f t="shared" si="19"/>
        <v>36-45</v>
      </c>
    </row>
    <row r="619" spans="1:13" x14ac:dyDescent="0.25">
      <c r="A619" s="2">
        <v>618</v>
      </c>
      <c r="B619" s="1">
        <v>45884</v>
      </c>
      <c r="C619" t="s">
        <v>457</v>
      </c>
      <c r="D619" t="s">
        <v>9</v>
      </c>
      <c r="E619">
        <v>18</v>
      </c>
      <c r="F619" s="2" t="s">
        <v>10</v>
      </c>
      <c r="G619" s="2">
        <v>4</v>
      </c>
      <c r="H619" s="5">
        <v>50</v>
      </c>
      <c r="I619" s="5">
        <f t="shared" si="18"/>
        <v>200</v>
      </c>
      <c r="J619" s="2" t="str">
        <f>TEXT([1]retail_sales_cleaned_dataset!B619,"mmmm")</f>
        <v>August</v>
      </c>
      <c r="K619" s="2">
        <f>MONTH([1]retail_sales_cleaned_dataset!B619)</f>
        <v>8</v>
      </c>
      <c r="L619" s="2">
        <f>YEAR([1]retail_sales_cleaned_dataset!B619)</f>
        <v>2025</v>
      </c>
      <c r="M619" s="2" t="str">
        <f t="shared" si="19"/>
        <v>18-25</v>
      </c>
    </row>
    <row r="620" spans="1:13" x14ac:dyDescent="0.25">
      <c r="A620" s="2">
        <v>619</v>
      </c>
      <c r="B620" s="1">
        <v>45884</v>
      </c>
      <c r="C620" t="s">
        <v>458</v>
      </c>
      <c r="D620" t="s">
        <v>12</v>
      </c>
      <c r="E620">
        <v>57</v>
      </c>
      <c r="F620" s="2" t="s">
        <v>15</v>
      </c>
      <c r="G620" s="2">
        <v>4</v>
      </c>
      <c r="H620" s="5">
        <v>25</v>
      </c>
      <c r="I620" s="5">
        <f t="shared" si="18"/>
        <v>100</v>
      </c>
      <c r="J620" s="2" t="str">
        <f>TEXT([1]retail_sales_cleaned_dataset!B620,"mmmm")</f>
        <v>August</v>
      </c>
      <c r="K620" s="2">
        <f>MONTH([1]retail_sales_cleaned_dataset!B620)</f>
        <v>8</v>
      </c>
      <c r="L620" s="2">
        <f>YEAR([1]retail_sales_cleaned_dataset!B620)</f>
        <v>2025</v>
      </c>
      <c r="M620" s="2" t="str">
        <f t="shared" si="19"/>
        <v>46+</v>
      </c>
    </row>
    <row r="621" spans="1:13" x14ac:dyDescent="0.25">
      <c r="A621" s="2">
        <v>620</v>
      </c>
      <c r="B621" s="1">
        <v>45884</v>
      </c>
      <c r="C621" t="s">
        <v>459</v>
      </c>
      <c r="D621" t="s">
        <v>9</v>
      </c>
      <c r="E621">
        <v>32</v>
      </c>
      <c r="F621" s="2" t="s">
        <v>15</v>
      </c>
      <c r="G621" s="2">
        <v>3</v>
      </c>
      <c r="H621" s="5">
        <v>25</v>
      </c>
      <c r="I621" s="5">
        <f t="shared" si="18"/>
        <v>75</v>
      </c>
      <c r="J621" s="2" t="str">
        <f>TEXT([1]retail_sales_cleaned_dataset!B621,"mmmm")</f>
        <v>August</v>
      </c>
      <c r="K621" s="2">
        <f>MONTH([1]retail_sales_cleaned_dataset!B621)</f>
        <v>8</v>
      </c>
      <c r="L621" s="2">
        <f>YEAR([1]retail_sales_cleaned_dataset!B621)</f>
        <v>2025</v>
      </c>
      <c r="M621" s="2" t="str">
        <f t="shared" si="19"/>
        <v>26-35</v>
      </c>
    </row>
    <row r="622" spans="1:13" x14ac:dyDescent="0.25">
      <c r="A622" s="2">
        <v>621</v>
      </c>
      <c r="B622" s="1">
        <v>45884</v>
      </c>
      <c r="C622" t="s">
        <v>460</v>
      </c>
      <c r="D622" t="s">
        <v>12</v>
      </c>
      <c r="E622">
        <v>38</v>
      </c>
      <c r="F622" s="2" t="s">
        <v>10</v>
      </c>
      <c r="G622" s="2">
        <v>2</v>
      </c>
      <c r="H622" s="5">
        <v>500</v>
      </c>
      <c r="I622" s="5">
        <f t="shared" si="18"/>
        <v>1000</v>
      </c>
      <c r="J622" s="2" t="str">
        <f>TEXT([1]retail_sales_cleaned_dataset!B622,"mmmm")</f>
        <v>August</v>
      </c>
      <c r="K622" s="2">
        <f>MONTH([1]retail_sales_cleaned_dataset!B622)</f>
        <v>8</v>
      </c>
      <c r="L622" s="2">
        <f>YEAR([1]retail_sales_cleaned_dataset!B622)</f>
        <v>2025</v>
      </c>
      <c r="M622" s="2" t="str">
        <f t="shared" si="19"/>
        <v>36-45</v>
      </c>
    </row>
    <row r="623" spans="1:13" x14ac:dyDescent="0.25">
      <c r="A623" s="2">
        <v>622</v>
      </c>
      <c r="B623" s="1">
        <v>45884</v>
      </c>
      <c r="C623" t="s">
        <v>461</v>
      </c>
      <c r="D623" t="s">
        <v>9</v>
      </c>
      <c r="E623">
        <v>64</v>
      </c>
      <c r="F623" s="2" t="s">
        <v>10</v>
      </c>
      <c r="G623" s="2">
        <v>3</v>
      </c>
      <c r="H623" s="5">
        <v>25</v>
      </c>
      <c r="I623" s="5">
        <f t="shared" si="18"/>
        <v>75</v>
      </c>
      <c r="J623" s="2" t="str">
        <f>TEXT([1]retail_sales_cleaned_dataset!B623,"mmmm")</f>
        <v>August</v>
      </c>
      <c r="K623" s="2">
        <f>MONTH([1]retail_sales_cleaned_dataset!B623)</f>
        <v>8</v>
      </c>
      <c r="L623" s="2">
        <f>YEAR([1]retail_sales_cleaned_dataset!B623)</f>
        <v>2025</v>
      </c>
      <c r="M623" s="2" t="str">
        <f t="shared" si="19"/>
        <v>46+</v>
      </c>
    </row>
    <row r="624" spans="1:13" x14ac:dyDescent="0.25">
      <c r="A624" s="2">
        <v>623</v>
      </c>
      <c r="B624" s="1">
        <v>45884</v>
      </c>
      <c r="C624" t="s">
        <v>462</v>
      </c>
      <c r="D624" t="s">
        <v>12</v>
      </c>
      <c r="E624">
        <v>26</v>
      </c>
      <c r="F624" s="2" t="s">
        <v>13</v>
      </c>
      <c r="G624" s="2">
        <v>3</v>
      </c>
      <c r="H624" s="5">
        <v>50</v>
      </c>
      <c r="I624" s="5">
        <f t="shared" si="18"/>
        <v>150</v>
      </c>
      <c r="J624" s="2" t="str">
        <f>TEXT([1]retail_sales_cleaned_dataset!B624,"mmmm")</f>
        <v>August</v>
      </c>
      <c r="K624" s="2">
        <f>MONTH([1]retail_sales_cleaned_dataset!B624)</f>
        <v>8</v>
      </c>
      <c r="L624" s="2">
        <f>YEAR([1]retail_sales_cleaned_dataset!B624)</f>
        <v>2025</v>
      </c>
      <c r="M624" s="2" t="str">
        <f t="shared" si="19"/>
        <v>26-35</v>
      </c>
    </row>
    <row r="625" spans="1:13" x14ac:dyDescent="0.25">
      <c r="A625" s="2">
        <v>624</v>
      </c>
      <c r="B625" s="1">
        <v>45886</v>
      </c>
      <c r="C625" t="s">
        <v>463</v>
      </c>
      <c r="D625" t="s">
        <v>9</v>
      </c>
      <c r="E625">
        <v>26</v>
      </c>
      <c r="F625" s="2" t="s">
        <v>10</v>
      </c>
      <c r="G625" s="2">
        <v>3</v>
      </c>
      <c r="H625" s="5">
        <v>300</v>
      </c>
      <c r="I625" s="5">
        <f t="shared" si="18"/>
        <v>900</v>
      </c>
      <c r="J625" s="2" t="str">
        <f>TEXT([1]retail_sales_cleaned_dataset!B625,"mmmm")</f>
        <v>August</v>
      </c>
      <c r="K625" s="2">
        <f>MONTH([1]retail_sales_cleaned_dataset!B625)</f>
        <v>8</v>
      </c>
      <c r="L625" s="2">
        <f>YEAR([1]retail_sales_cleaned_dataset!B625)</f>
        <v>2025</v>
      </c>
      <c r="M625" s="2" t="str">
        <f t="shared" si="19"/>
        <v>26-35</v>
      </c>
    </row>
    <row r="626" spans="1:13" x14ac:dyDescent="0.25">
      <c r="A626" s="2">
        <v>625</v>
      </c>
      <c r="B626" s="1">
        <v>45887</v>
      </c>
      <c r="C626" t="s">
        <v>151</v>
      </c>
      <c r="D626" t="s">
        <v>12</v>
      </c>
      <c r="E626">
        <v>27</v>
      </c>
      <c r="F626" s="2" t="s">
        <v>13</v>
      </c>
      <c r="G626" s="2">
        <v>1</v>
      </c>
      <c r="H626" s="5">
        <v>300</v>
      </c>
      <c r="I626" s="5">
        <f t="shared" si="18"/>
        <v>300</v>
      </c>
      <c r="J626" s="2" t="str">
        <f>TEXT([1]retail_sales_cleaned_dataset!B626,"mmmm")</f>
        <v>August</v>
      </c>
      <c r="K626" s="2">
        <f>MONTH([1]retail_sales_cleaned_dataset!B626)</f>
        <v>8</v>
      </c>
      <c r="L626" s="2">
        <f>YEAR([1]retail_sales_cleaned_dataset!B626)</f>
        <v>2025</v>
      </c>
      <c r="M626" s="2" t="str">
        <f t="shared" si="19"/>
        <v>26-35</v>
      </c>
    </row>
    <row r="627" spans="1:13" x14ac:dyDescent="0.25">
      <c r="A627" s="2">
        <v>626</v>
      </c>
      <c r="B627" s="1">
        <v>45887</v>
      </c>
      <c r="C627" t="s">
        <v>464</v>
      </c>
      <c r="D627" t="s">
        <v>9</v>
      </c>
      <c r="E627">
        <v>43</v>
      </c>
      <c r="F627" s="2" t="s">
        <v>13</v>
      </c>
      <c r="G627" s="2">
        <v>4</v>
      </c>
      <c r="H627" s="5">
        <v>500</v>
      </c>
      <c r="I627" s="5">
        <f t="shared" si="18"/>
        <v>2000</v>
      </c>
      <c r="J627" s="2" t="str">
        <f>TEXT([1]retail_sales_cleaned_dataset!B627,"mmmm")</f>
        <v>August</v>
      </c>
      <c r="K627" s="2">
        <f>MONTH([1]retail_sales_cleaned_dataset!B627)</f>
        <v>8</v>
      </c>
      <c r="L627" s="2">
        <f>YEAR([1]retail_sales_cleaned_dataset!B627)</f>
        <v>2025</v>
      </c>
      <c r="M627" s="2" t="str">
        <f t="shared" si="19"/>
        <v>36-45</v>
      </c>
    </row>
    <row r="628" spans="1:13" x14ac:dyDescent="0.25">
      <c r="A628" s="2">
        <v>627</v>
      </c>
      <c r="B628" s="1">
        <v>45887</v>
      </c>
      <c r="C628" t="s">
        <v>270</v>
      </c>
      <c r="D628" t="s">
        <v>12</v>
      </c>
      <c r="E628">
        <v>58</v>
      </c>
      <c r="F628" s="2" t="s">
        <v>13</v>
      </c>
      <c r="G628" s="2">
        <v>1</v>
      </c>
      <c r="H628" s="5">
        <v>50</v>
      </c>
      <c r="I628" s="5">
        <f t="shared" si="18"/>
        <v>50</v>
      </c>
      <c r="J628" s="2" t="str">
        <f>TEXT([1]retail_sales_cleaned_dataset!B628,"mmmm")</f>
        <v>August</v>
      </c>
      <c r="K628" s="2">
        <f>MONTH([1]retail_sales_cleaned_dataset!B628)</f>
        <v>8</v>
      </c>
      <c r="L628" s="2">
        <f>YEAR([1]retail_sales_cleaned_dataset!B628)</f>
        <v>2025</v>
      </c>
      <c r="M628" s="2" t="str">
        <f t="shared" si="19"/>
        <v>46+</v>
      </c>
    </row>
    <row r="629" spans="1:13" x14ac:dyDescent="0.25">
      <c r="A629" s="2">
        <v>628</v>
      </c>
      <c r="B629" s="1">
        <v>45888</v>
      </c>
      <c r="C629" t="s">
        <v>465</v>
      </c>
      <c r="D629" t="s">
        <v>9</v>
      </c>
      <c r="E629">
        <v>52</v>
      </c>
      <c r="F629" s="2" t="s">
        <v>10</v>
      </c>
      <c r="G629" s="2">
        <v>4</v>
      </c>
      <c r="H629" s="5">
        <v>50</v>
      </c>
      <c r="I629" s="5">
        <f t="shared" si="18"/>
        <v>200</v>
      </c>
      <c r="J629" s="2" t="str">
        <f>TEXT([1]retail_sales_cleaned_dataset!B629,"mmmm")</f>
        <v>August</v>
      </c>
      <c r="K629" s="2">
        <f>MONTH([1]retail_sales_cleaned_dataset!B629)</f>
        <v>8</v>
      </c>
      <c r="L629" s="2">
        <f>YEAR([1]retail_sales_cleaned_dataset!B629)</f>
        <v>2025</v>
      </c>
      <c r="M629" s="2" t="str">
        <f t="shared" si="19"/>
        <v>46+</v>
      </c>
    </row>
    <row r="630" spans="1:13" x14ac:dyDescent="0.25">
      <c r="A630" s="2">
        <v>629</v>
      </c>
      <c r="B630" s="1">
        <v>45888</v>
      </c>
      <c r="C630" t="s">
        <v>61</v>
      </c>
      <c r="D630" t="s">
        <v>12</v>
      </c>
      <c r="E630">
        <v>42</v>
      </c>
      <c r="F630" s="2" t="s">
        <v>15</v>
      </c>
      <c r="G630" s="2">
        <v>2</v>
      </c>
      <c r="H630" s="5">
        <v>25</v>
      </c>
      <c r="I630" s="5">
        <f t="shared" si="18"/>
        <v>50</v>
      </c>
      <c r="J630" s="2" t="str">
        <f>TEXT([1]retail_sales_cleaned_dataset!B630,"mmmm")</f>
        <v>August</v>
      </c>
      <c r="K630" s="2">
        <f>MONTH([1]retail_sales_cleaned_dataset!B630)</f>
        <v>8</v>
      </c>
      <c r="L630" s="2">
        <f>YEAR([1]retail_sales_cleaned_dataset!B630)</f>
        <v>2025</v>
      </c>
      <c r="M630" s="2" t="str">
        <f t="shared" si="19"/>
        <v>36-45</v>
      </c>
    </row>
    <row r="631" spans="1:13" x14ac:dyDescent="0.25">
      <c r="A631" s="2">
        <v>630</v>
      </c>
      <c r="B631" s="1">
        <v>45888</v>
      </c>
      <c r="C631" t="s">
        <v>466</v>
      </c>
      <c r="D631" t="s">
        <v>12</v>
      </c>
      <c r="E631">
        <v>43</v>
      </c>
      <c r="F631" s="2" t="s">
        <v>13</v>
      </c>
      <c r="G631" s="2">
        <v>2</v>
      </c>
      <c r="H631" s="5">
        <v>50</v>
      </c>
      <c r="I631" s="5">
        <f t="shared" si="18"/>
        <v>100</v>
      </c>
      <c r="J631" s="2" t="str">
        <f>TEXT([1]retail_sales_cleaned_dataset!B631,"mmmm")</f>
        <v>August</v>
      </c>
      <c r="K631" s="2">
        <f>MONTH([1]retail_sales_cleaned_dataset!B631)</f>
        <v>8</v>
      </c>
      <c r="L631" s="2">
        <f>YEAR([1]retail_sales_cleaned_dataset!B631)</f>
        <v>2025</v>
      </c>
      <c r="M631" s="2" t="str">
        <f t="shared" si="19"/>
        <v>36-45</v>
      </c>
    </row>
    <row r="632" spans="1:13" x14ac:dyDescent="0.25">
      <c r="A632" s="2">
        <v>631</v>
      </c>
      <c r="B632" s="1">
        <v>45888</v>
      </c>
      <c r="C632" t="s">
        <v>120</v>
      </c>
      <c r="D632" t="s">
        <v>12</v>
      </c>
      <c r="E632">
        <v>28</v>
      </c>
      <c r="F632" s="2" t="s">
        <v>15</v>
      </c>
      <c r="G632" s="2">
        <v>3</v>
      </c>
      <c r="H632" s="5">
        <v>30</v>
      </c>
      <c r="I632" s="5">
        <f t="shared" si="18"/>
        <v>90</v>
      </c>
      <c r="J632" s="2" t="str">
        <f>TEXT([1]retail_sales_cleaned_dataset!B632,"mmmm")</f>
        <v>August</v>
      </c>
      <c r="K632" s="2">
        <f>MONTH([1]retail_sales_cleaned_dataset!B632)</f>
        <v>8</v>
      </c>
      <c r="L632" s="2">
        <f>YEAR([1]retail_sales_cleaned_dataset!B632)</f>
        <v>2025</v>
      </c>
      <c r="M632" s="2" t="str">
        <f t="shared" si="19"/>
        <v>26-35</v>
      </c>
    </row>
    <row r="633" spans="1:13" x14ac:dyDescent="0.25">
      <c r="A633" s="2">
        <v>632</v>
      </c>
      <c r="B633" s="1">
        <v>45889</v>
      </c>
      <c r="C633" t="s">
        <v>467</v>
      </c>
      <c r="D633" t="s">
        <v>9</v>
      </c>
      <c r="E633">
        <v>55</v>
      </c>
      <c r="F633" s="2" t="s">
        <v>15</v>
      </c>
      <c r="G633" s="2">
        <v>4</v>
      </c>
      <c r="H633" s="5">
        <v>25</v>
      </c>
      <c r="I633" s="5">
        <f t="shared" si="18"/>
        <v>100</v>
      </c>
      <c r="J633" s="2" t="str">
        <f>TEXT([1]retail_sales_cleaned_dataset!B633,"mmmm")</f>
        <v>August</v>
      </c>
      <c r="K633" s="2">
        <f>MONTH([1]retail_sales_cleaned_dataset!B633)</f>
        <v>8</v>
      </c>
      <c r="L633" s="2">
        <f>YEAR([1]retail_sales_cleaned_dataset!B633)</f>
        <v>2025</v>
      </c>
      <c r="M633" s="2" t="str">
        <f t="shared" si="19"/>
        <v>46+</v>
      </c>
    </row>
    <row r="634" spans="1:13" x14ac:dyDescent="0.25">
      <c r="A634" s="2">
        <v>633</v>
      </c>
      <c r="B634" s="1">
        <v>45890</v>
      </c>
      <c r="C634" t="s">
        <v>322</v>
      </c>
      <c r="D634" t="s">
        <v>12</v>
      </c>
      <c r="E634">
        <v>19</v>
      </c>
      <c r="F634" s="2" t="s">
        <v>10</v>
      </c>
      <c r="G634" s="2">
        <v>4</v>
      </c>
      <c r="H634" s="5">
        <v>30</v>
      </c>
      <c r="I634" s="5">
        <f t="shared" si="18"/>
        <v>120</v>
      </c>
      <c r="J634" s="2" t="str">
        <f>TEXT([1]retail_sales_cleaned_dataset!B634,"mmmm")</f>
        <v>August</v>
      </c>
      <c r="K634" s="2">
        <f>MONTH([1]retail_sales_cleaned_dataset!B634)</f>
        <v>8</v>
      </c>
      <c r="L634" s="2">
        <f>YEAR([1]retail_sales_cleaned_dataset!B634)</f>
        <v>2025</v>
      </c>
      <c r="M634" s="2" t="str">
        <f t="shared" si="19"/>
        <v>18-25</v>
      </c>
    </row>
    <row r="635" spans="1:13" x14ac:dyDescent="0.25">
      <c r="A635" s="2">
        <v>634</v>
      </c>
      <c r="B635" s="1">
        <v>45890</v>
      </c>
      <c r="C635" t="s">
        <v>468</v>
      </c>
      <c r="D635" t="s">
        <v>9</v>
      </c>
      <c r="E635">
        <v>24</v>
      </c>
      <c r="F635" s="2" t="s">
        <v>15</v>
      </c>
      <c r="G635" s="2">
        <v>4</v>
      </c>
      <c r="H635" s="5">
        <v>500</v>
      </c>
      <c r="I635" s="5">
        <f t="shared" si="18"/>
        <v>2000</v>
      </c>
      <c r="J635" s="2" t="str">
        <f>TEXT([1]retail_sales_cleaned_dataset!B635,"mmmm")</f>
        <v>August</v>
      </c>
      <c r="K635" s="2">
        <f>MONTH([1]retail_sales_cleaned_dataset!B635)</f>
        <v>8</v>
      </c>
      <c r="L635" s="2">
        <f>YEAR([1]retail_sales_cleaned_dataset!B635)</f>
        <v>2025</v>
      </c>
      <c r="M635" s="2" t="str">
        <f t="shared" si="19"/>
        <v>18-25</v>
      </c>
    </row>
    <row r="636" spans="1:13" x14ac:dyDescent="0.25">
      <c r="A636" s="2">
        <v>635</v>
      </c>
      <c r="B636" s="1">
        <v>45890</v>
      </c>
      <c r="C636" t="s">
        <v>426</v>
      </c>
      <c r="D636" t="s">
        <v>12</v>
      </c>
      <c r="E636">
        <v>35</v>
      </c>
      <c r="F636" s="2" t="s">
        <v>15</v>
      </c>
      <c r="G636" s="2">
        <v>3</v>
      </c>
      <c r="H636" s="5">
        <v>300</v>
      </c>
      <c r="I636" s="5">
        <f t="shared" si="18"/>
        <v>900</v>
      </c>
      <c r="J636" s="2" t="str">
        <f>TEXT([1]retail_sales_cleaned_dataset!B636,"mmmm")</f>
        <v>August</v>
      </c>
      <c r="K636" s="2">
        <f>MONTH([1]retail_sales_cleaned_dataset!B636)</f>
        <v>8</v>
      </c>
      <c r="L636" s="2">
        <f>YEAR([1]retail_sales_cleaned_dataset!B636)</f>
        <v>2025</v>
      </c>
      <c r="M636" s="2" t="str">
        <f t="shared" si="19"/>
        <v>26-35</v>
      </c>
    </row>
    <row r="637" spans="1:13" x14ac:dyDescent="0.25">
      <c r="A637" s="2">
        <v>636</v>
      </c>
      <c r="B637" s="1">
        <v>45890</v>
      </c>
      <c r="C637" t="s">
        <v>469</v>
      </c>
      <c r="D637" t="s">
        <v>9</v>
      </c>
      <c r="E637">
        <v>44</v>
      </c>
      <c r="F637" s="2" t="s">
        <v>10</v>
      </c>
      <c r="G637" s="2">
        <v>3</v>
      </c>
      <c r="H637" s="5">
        <v>500</v>
      </c>
      <c r="I637" s="5">
        <f t="shared" si="18"/>
        <v>1500</v>
      </c>
      <c r="J637" s="2" t="str">
        <f>TEXT([1]retail_sales_cleaned_dataset!B637,"mmmm")</f>
        <v>August</v>
      </c>
      <c r="K637" s="2">
        <f>MONTH([1]retail_sales_cleaned_dataset!B637)</f>
        <v>8</v>
      </c>
      <c r="L637" s="2">
        <f>YEAR([1]retail_sales_cleaned_dataset!B637)</f>
        <v>2025</v>
      </c>
      <c r="M637" s="2" t="str">
        <f t="shared" si="19"/>
        <v>36-45</v>
      </c>
    </row>
    <row r="638" spans="1:13" x14ac:dyDescent="0.25">
      <c r="A638" s="2">
        <v>637</v>
      </c>
      <c r="B638" s="1">
        <v>45890</v>
      </c>
      <c r="C638" t="s">
        <v>470</v>
      </c>
      <c r="D638" t="s">
        <v>12</v>
      </c>
      <c r="E638">
        <v>51</v>
      </c>
      <c r="F638" s="2" t="s">
        <v>13</v>
      </c>
      <c r="G638" s="2">
        <v>2</v>
      </c>
      <c r="H638" s="5">
        <v>300</v>
      </c>
      <c r="I638" s="5">
        <f t="shared" si="18"/>
        <v>600</v>
      </c>
      <c r="J638" s="2" t="str">
        <f>TEXT([1]retail_sales_cleaned_dataset!B638,"mmmm")</f>
        <v>August</v>
      </c>
      <c r="K638" s="2">
        <f>MONTH([1]retail_sales_cleaned_dataset!B638)</f>
        <v>8</v>
      </c>
      <c r="L638" s="2">
        <f>YEAR([1]retail_sales_cleaned_dataset!B638)</f>
        <v>2025</v>
      </c>
      <c r="M638" s="2" t="str">
        <f t="shared" si="19"/>
        <v>46+</v>
      </c>
    </row>
    <row r="639" spans="1:13" x14ac:dyDescent="0.25">
      <c r="A639" s="2">
        <v>638</v>
      </c>
      <c r="B639" s="1">
        <v>45890</v>
      </c>
      <c r="C639" t="s">
        <v>471</v>
      </c>
      <c r="D639" t="s">
        <v>9</v>
      </c>
      <c r="E639">
        <v>44</v>
      </c>
      <c r="F639" s="2" t="s">
        <v>15</v>
      </c>
      <c r="G639" s="2">
        <v>1</v>
      </c>
      <c r="H639" s="5">
        <v>500</v>
      </c>
      <c r="I639" s="5">
        <f t="shared" si="18"/>
        <v>500</v>
      </c>
      <c r="J639" s="2" t="str">
        <f>TEXT([1]retail_sales_cleaned_dataset!B639,"mmmm")</f>
        <v>August</v>
      </c>
      <c r="K639" s="2">
        <f>MONTH([1]retail_sales_cleaned_dataset!B639)</f>
        <v>8</v>
      </c>
      <c r="L639" s="2">
        <f>YEAR([1]retail_sales_cleaned_dataset!B639)</f>
        <v>2025</v>
      </c>
      <c r="M639" s="2" t="str">
        <f t="shared" si="19"/>
        <v>36-45</v>
      </c>
    </row>
    <row r="640" spans="1:13" x14ac:dyDescent="0.25">
      <c r="A640" s="2">
        <v>639</v>
      </c>
      <c r="B640" s="1">
        <v>45891</v>
      </c>
      <c r="C640" t="s">
        <v>472</v>
      </c>
      <c r="D640" t="s">
        <v>9</v>
      </c>
      <c r="E640">
        <v>34</v>
      </c>
      <c r="F640" s="2" t="s">
        <v>10</v>
      </c>
      <c r="G640" s="2">
        <v>4</v>
      </c>
      <c r="H640" s="5">
        <v>50</v>
      </c>
      <c r="I640" s="5">
        <f t="shared" si="18"/>
        <v>200</v>
      </c>
      <c r="J640" s="2" t="str">
        <f>TEXT([1]retail_sales_cleaned_dataset!B640,"mmmm")</f>
        <v>August</v>
      </c>
      <c r="K640" s="2">
        <f>MONTH([1]retail_sales_cleaned_dataset!B640)</f>
        <v>8</v>
      </c>
      <c r="L640" s="2">
        <f>YEAR([1]retail_sales_cleaned_dataset!B640)</f>
        <v>2025</v>
      </c>
      <c r="M640" s="2" t="str">
        <f t="shared" si="19"/>
        <v>26-35</v>
      </c>
    </row>
    <row r="641" spans="1:13" x14ac:dyDescent="0.25">
      <c r="A641" s="2">
        <v>640</v>
      </c>
      <c r="B641" s="1">
        <v>45891</v>
      </c>
      <c r="C641" t="s">
        <v>473</v>
      </c>
      <c r="D641" t="s">
        <v>12</v>
      </c>
      <c r="E641">
        <v>60</v>
      </c>
      <c r="F641" s="2" t="s">
        <v>15</v>
      </c>
      <c r="G641" s="2">
        <v>4</v>
      </c>
      <c r="H641" s="5">
        <v>30</v>
      </c>
      <c r="I641" s="5">
        <f t="shared" si="18"/>
        <v>120</v>
      </c>
      <c r="J641" s="2" t="str">
        <f>TEXT([1]retail_sales_cleaned_dataset!B641,"mmmm")</f>
        <v>August</v>
      </c>
      <c r="K641" s="2">
        <f>MONTH([1]retail_sales_cleaned_dataset!B641)</f>
        <v>8</v>
      </c>
      <c r="L641" s="2">
        <f>YEAR([1]retail_sales_cleaned_dataset!B641)</f>
        <v>2025</v>
      </c>
      <c r="M641" s="2" t="str">
        <f t="shared" si="19"/>
        <v>46+</v>
      </c>
    </row>
    <row r="642" spans="1:13" x14ac:dyDescent="0.25">
      <c r="A642" s="2">
        <v>641</v>
      </c>
      <c r="B642" s="1">
        <v>45892</v>
      </c>
      <c r="C642" t="s">
        <v>474</v>
      </c>
      <c r="D642" t="s">
        <v>9</v>
      </c>
      <c r="E642">
        <v>61</v>
      </c>
      <c r="F642" s="2" t="s">
        <v>15</v>
      </c>
      <c r="G642" s="2">
        <v>1</v>
      </c>
      <c r="H642" s="5">
        <v>300</v>
      </c>
      <c r="I642" s="5">
        <f t="shared" ref="I642:I705" si="20">G642*H642</f>
        <v>300</v>
      </c>
      <c r="J642" s="2" t="str">
        <f>TEXT([1]retail_sales_cleaned_dataset!B642,"mmmm")</f>
        <v>August</v>
      </c>
      <c r="K642" s="2">
        <f>MONTH([1]retail_sales_cleaned_dataset!B642)</f>
        <v>8</v>
      </c>
      <c r="L642" s="2">
        <f>YEAR([1]retail_sales_cleaned_dataset!B642)</f>
        <v>2025</v>
      </c>
      <c r="M642" s="2" t="str">
        <f t="shared" ref="M642:M705" si="21">IF(E642&lt;=25,"18-25",IF(E642&lt;=35,"26-35",IF(E642&lt;=45,"36-45","46+")))</f>
        <v>46+</v>
      </c>
    </row>
    <row r="643" spans="1:13" x14ac:dyDescent="0.25">
      <c r="A643" s="2">
        <v>642</v>
      </c>
      <c r="B643" s="1">
        <v>45892</v>
      </c>
      <c r="C643" t="s">
        <v>475</v>
      </c>
      <c r="D643" t="s">
        <v>9</v>
      </c>
      <c r="E643">
        <v>41</v>
      </c>
      <c r="F643" s="2" t="s">
        <v>13</v>
      </c>
      <c r="G643" s="2">
        <v>4</v>
      </c>
      <c r="H643" s="5">
        <v>25</v>
      </c>
      <c r="I643" s="5">
        <f t="shared" si="20"/>
        <v>100</v>
      </c>
      <c r="J643" s="2" t="str">
        <f>TEXT([1]retail_sales_cleaned_dataset!B643,"mmmm")</f>
        <v>August</v>
      </c>
      <c r="K643" s="2">
        <f>MONTH([1]retail_sales_cleaned_dataset!B643)</f>
        <v>8</v>
      </c>
      <c r="L643" s="2">
        <f>YEAR([1]retail_sales_cleaned_dataset!B643)</f>
        <v>2025</v>
      </c>
      <c r="M643" s="2" t="str">
        <f t="shared" si="21"/>
        <v>36-45</v>
      </c>
    </row>
    <row r="644" spans="1:13" x14ac:dyDescent="0.25">
      <c r="A644" s="2">
        <v>643</v>
      </c>
      <c r="B644" s="1">
        <v>45892</v>
      </c>
      <c r="C644" t="s">
        <v>476</v>
      </c>
      <c r="D644" t="s">
        <v>12</v>
      </c>
      <c r="E644">
        <v>42</v>
      </c>
      <c r="F644" s="2" t="s">
        <v>15</v>
      </c>
      <c r="G644" s="2">
        <v>3</v>
      </c>
      <c r="H644" s="5">
        <v>30</v>
      </c>
      <c r="I644" s="5">
        <f t="shared" si="20"/>
        <v>90</v>
      </c>
      <c r="J644" s="2" t="str">
        <f>TEXT([1]retail_sales_cleaned_dataset!B644,"mmmm")</f>
        <v>August</v>
      </c>
      <c r="K644" s="2">
        <f>MONTH([1]retail_sales_cleaned_dataset!B644)</f>
        <v>8</v>
      </c>
      <c r="L644" s="2">
        <f>YEAR([1]retail_sales_cleaned_dataset!B644)</f>
        <v>2025</v>
      </c>
      <c r="M644" s="2" t="str">
        <f t="shared" si="21"/>
        <v>36-45</v>
      </c>
    </row>
    <row r="645" spans="1:13" x14ac:dyDescent="0.25">
      <c r="A645" s="2">
        <v>644</v>
      </c>
      <c r="B645" s="1">
        <v>45893</v>
      </c>
      <c r="C645" t="s">
        <v>477</v>
      </c>
      <c r="D645" t="s">
        <v>9</v>
      </c>
      <c r="E645">
        <v>24</v>
      </c>
      <c r="F645" s="2" t="s">
        <v>10</v>
      </c>
      <c r="G645" s="2">
        <v>3</v>
      </c>
      <c r="H645" s="5">
        <v>25</v>
      </c>
      <c r="I645" s="5">
        <f t="shared" si="20"/>
        <v>75</v>
      </c>
      <c r="J645" s="2" t="str">
        <f>TEXT([1]retail_sales_cleaned_dataset!B645,"mmmm")</f>
        <v>August</v>
      </c>
      <c r="K645" s="2">
        <f>MONTH([1]retail_sales_cleaned_dataset!B645)</f>
        <v>8</v>
      </c>
      <c r="L645" s="2">
        <f>YEAR([1]retail_sales_cleaned_dataset!B645)</f>
        <v>2025</v>
      </c>
      <c r="M645" s="2" t="str">
        <f t="shared" si="21"/>
        <v>18-25</v>
      </c>
    </row>
    <row r="646" spans="1:13" x14ac:dyDescent="0.25">
      <c r="A646" s="2">
        <v>645</v>
      </c>
      <c r="B646" s="1">
        <v>45893</v>
      </c>
      <c r="C646" t="s">
        <v>478</v>
      </c>
      <c r="D646" t="s">
        <v>9</v>
      </c>
      <c r="E646">
        <v>23</v>
      </c>
      <c r="F646" s="2" t="s">
        <v>15</v>
      </c>
      <c r="G646" s="2">
        <v>4</v>
      </c>
      <c r="H646" s="5">
        <v>30</v>
      </c>
      <c r="I646" s="5">
        <f t="shared" si="20"/>
        <v>120</v>
      </c>
      <c r="J646" s="2" t="str">
        <f>TEXT([1]retail_sales_cleaned_dataset!B646,"mmmm")</f>
        <v>August</v>
      </c>
      <c r="K646" s="2">
        <f>MONTH([1]retail_sales_cleaned_dataset!B646)</f>
        <v>8</v>
      </c>
      <c r="L646" s="2">
        <f>YEAR([1]retail_sales_cleaned_dataset!B646)</f>
        <v>2025</v>
      </c>
      <c r="M646" s="2" t="str">
        <f t="shared" si="21"/>
        <v>18-25</v>
      </c>
    </row>
    <row r="647" spans="1:13" x14ac:dyDescent="0.25">
      <c r="A647" s="2">
        <v>646</v>
      </c>
      <c r="B647" s="1">
        <v>45893</v>
      </c>
      <c r="C647" t="s">
        <v>88</v>
      </c>
      <c r="D647" t="s">
        <v>9</v>
      </c>
      <c r="E647">
        <v>41</v>
      </c>
      <c r="F647" s="2" t="s">
        <v>13</v>
      </c>
      <c r="G647" s="2">
        <v>3</v>
      </c>
      <c r="H647" s="5">
        <v>30</v>
      </c>
      <c r="I647" s="5">
        <f t="shared" si="20"/>
        <v>90</v>
      </c>
      <c r="J647" s="2" t="str">
        <f>TEXT([1]retail_sales_cleaned_dataset!B647,"mmmm")</f>
        <v>August</v>
      </c>
      <c r="K647" s="2">
        <f>MONTH([1]retail_sales_cleaned_dataset!B647)</f>
        <v>8</v>
      </c>
      <c r="L647" s="2">
        <f>YEAR([1]retail_sales_cleaned_dataset!B647)</f>
        <v>2025</v>
      </c>
      <c r="M647" s="2" t="str">
        <f t="shared" si="21"/>
        <v>36-45</v>
      </c>
    </row>
    <row r="648" spans="1:13" x14ac:dyDescent="0.25">
      <c r="A648" s="2">
        <v>647</v>
      </c>
      <c r="B648" s="1">
        <v>45894</v>
      </c>
      <c r="C648" t="s">
        <v>479</v>
      </c>
      <c r="D648" t="s">
        <v>12</v>
      </c>
      <c r="E648">
        <v>50</v>
      </c>
      <c r="F648" s="2" t="s">
        <v>13</v>
      </c>
      <c r="G648" s="2">
        <v>3</v>
      </c>
      <c r="H648" s="5">
        <v>500</v>
      </c>
      <c r="I648" s="5">
        <f t="shared" si="20"/>
        <v>1500</v>
      </c>
      <c r="J648" s="2" t="str">
        <f>TEXT([1]retail_sales_cleaned_dataset!B648,"mmmm")</f>
        <v>August</v>
      </c>
      <c r="K648" s="2">
        <f>MONTH([1]retail_sales_cleaned_dataset!B648)</f>
        <v>8</v>
      </c>
      <c r="L648" s="2">
        <f>YEAR([1]retail_sales_cleaned_dataset!B648)</f>
        <v>2025</v>
      </c>
      <c r="M648" s="2" t="str">
        <f t="shared" si="21"/>
        <v>46+</v>
      </c>
    </row>
    <row r="649" spans="1:13" x14ac:dyDescent="0.25">
      <c r="A649" s="2">
        <v>648</v>
      </c>
      <c r="B649" s="1">
        <v>45894</v>
      </c>
      <c r="C649" t="s">
        <v>151</v>
      </c>
      <c r="D649" t="s">
        <v>9</v>
      </c>
      <c r="E649">
        <v>46</v>
      </c>
      <c r="F649" s="2" t="s">
        <v>10</v>
      </c>
      <c r="G649" s="2">
        <v>4</v>
      </c>
      <c r="H649" s="5">
        <v>300</v>
      </c>
      <c r="I649" s="5">
        <f t="shared" si="20"/>
        <v>1200</v>
      </c>
      <c r="J649" s="2" t="str">
        <f>TEXT([1]retail_sales_cleaned_dataset!B649,"mmmm")</f>
        <v>August</v>
      </c>
      <c r="K649" s="2">
        <f>MONTH([1]retail_sales_cleaned_dataset!B649)</f>
        <v>8</v>
      </c>
      <c r="L649" s="2">
        <f>YEAR([1]retail_sales_cleaned_dataset!B649)</f>
        <v>2025</v>
      </c>
      <c r="M649" s="2" t="str">
        <f t="shared" si="21"/>
        <v>46+</v>
      </c>
    </row>
    <row r="650" spans="1:13" x14ac:dyDescent="0.25">
      <c r="A650" s="2">
        <v>649</v>
      </c>
      <c r="B650" s="1">
        <v>45894</v>
      </c>
      <c r="C650" t="s">
        <v>480</v>
      </c>
      <c r="D650" t="s">
        <v>12</v>
      </c>
      <c r="E650">
        <v>60</v>
      </c>
      <c r="F650" s="2" t="s">
        <v>13</v>
      </c>
      <c r="G650" s="2">
        <v>2</v>
      </c>
      <c r="H650" s="5">
        <v>300</v>
      </c>
      <c r="I650" s="5">
        <f t="shared" si="20"/>
        <v>600</v>
      </c>
      <c r="J650" s="2" t="str">
        <f>TEXT([1]retail_sales_cleaned_dataset!B650,"mmmm")</f>
        <v>August</v>
      </c>
      <c r="K650" s="2">
        <f>MONTH([1]retail_sales_cleaned_dataset!B650)</f>
        <v>8</v>
      </c>
      <c r="L650" s="2">
        <f>YEAR([1]retail_sales_cleaned_dataset!B650)</f>
        <v>2025</v>
      </c>
      <c r="M650" s="2" t="str">
        <f t="shared" si="21"/>
        <v>46+</v>
      </c>
    </row>
    <row r="651" spans="1:13" x14ac:dyDescent="0.25">
      <c r="A651" s="2">
        <v>650</v>
      </c>
      <c r="B651" s="1">
        <v>45895</v>
      </c>
      <c r="C651" t="s">
        <v>270</v>
      </c>
      <c r="D651" t="s">
        <v>9</v>
      </c>
      <c r="E651">
        <v>39</v>
      </c>
      <c r="F651" s="2" t="s">
        <v>15</v>
      </c>
      <c r="G651" s="2">
        <v>1</v>
      </c>
      <c r="H651" s="5">
        <v>30</v>
      </c>
      <c r="I651" s="5">
        <f t="shared" si="20"/>
        <v>30</v>
      </c>
      <c r="J651" s="2" t="str">
        <f>TEXT([1]retail_sales_cleaned_dataset!B651,"mmmm")</f>
        <v>August</v>
      </c>
      <c r="K651" s="2">
        <f>MONTH([1]retail_sales_cleaned_dataset!B651)</f>
        <v>8</v>
      </c>
      <c r="L651" s="2">
        <f>YEAR([1]retail_sales_cleaned_dataset!B651)</f>
        <v>2025</v>
      </c>
      <c r="M651" s="2" t="str">
        <f t="shared" si="21"/>
        <v>36-45</v>
      </c>
    </row>
    <row r="652" spans="1:13" x14ac:dyDescent="0.25">
      <c r="A652" s="2">
        <v>651</v>
      </c>
      <c r="B652" s="1">
        <v>45895</v>
      </c>
      <c r="C652" t="s">
        <v>481</v>
      </c>
      <c r="D652" t="s">
        <v>9</v>
      </c>
      <c r="E652">
        <v>43</v>
      </c>
      <c r="F652" s="2" t="s">
        <v>13</v>
      </c>
      <c r="G652" s="2">
        <v>3</v>
      </c>
      <c r="H652" s="5">
        <v>50</v>
      </c>
      <c r="I652" s="5">
        <f t="shared" si="20"/>
        <v>150</v>
      </c>
      <c r="J652" s="2" t="str">
        <f>TEXT([1]retail_sales_cleaned_dataset!B652,"mmmm")</f>
        <v>August</v>
      </c>
      <c r="K652" s="2">
        <f>MONTH([1]retail_sales_cleaned_dataset!B652)</f>
        <v>8</v>
      </c>
      <c r="L652" s="2">
        <f>YEAR([1]retail_sales_cleaned_dataset!B652)</f>
        <v>2025</v>
      </c>
      <c r="M652" s="2" t="str">
        <f t="shared" si="21"/>
        <v>36-45</v>
      </c>
    </row>
    <row r="653" spans="1:13" x14ac:dyDescent="0.25">
      <c r="A653" s="2">
        <v>652</v>
      </c>
      <c r="B653" s="1">
        <v>45895</v>
      </c>
      <c r="C653" t="s">
        <v>61</v>
      </c>
      <c r="D653" t="s">
        <v>9</v>
      </c>
      <c r="E653">
        <v>45</v>
      </c>
      <c r="F653" s="2" t="s">
        <v>10</v>
      </c>
      <c r="G653" s="2">
        <v>2</v>
      </c>
      <c r="H653" s="5">
        <v>50</v>
      </c>
      <c r="I653" s="5">
        <f t="shared" si="20"/>
        <v>100</v>
      </c>
      <c r="J653" s="2" t="str">
        <f>TEXT([1]retail_sales_cleaned_dataset!B653,"mmmm")</f>
        <v>August</v>
      </c>
      <c r="K653" s="2">
        <f>MONTH([1]retail_sales_cleaned_dataset!B653)</f>
        <v>8</v>
      </c>
      <c r="L653" s="2">
        <f>YEAR([1]retail_sales_cleaned_dataset!B653)</f>
        <v>2025</v>
      </c>
      <c r="M653" s="2" t="str">
        <f t="shared" si="21"/>
        <v>36-45</v>
      </c>
    </row>
    <row r="654" spans="1:13" x14ac:dyDescent="0.25">
      <c r="A654" s="2">
        <v>653</v>
      </c>
      <c r="B654" s="1">
        <v>45896</v>
      </c>
      <c r="C654" t="s">
        <v>482</v>
      </c>
      <c r="D654" t="s">
        <v>12</v>
      </c>
      <c r="E654">
        <v>38</v>
      </c>
      <c r="F654" s="2" t="s">
        <v>13</v>
      </c>
      <c r="G654" s="2">
        <v>3</v>
      </c>
      <c r="H654" s="5">
        <v>25</v>
      </c>
      <c r="I654" s="5">
        <f t="shared" si="20"/>
        <v>75</v>
      </c>
      <c r="J654" s="2" t="str">
        <f>TEXT([1]retail_sales_cleaned_dataset!B654,"mmmm")</f>
        <v>August</v>
      </c>
      <c r="K654" s="2">
        <f>MONTH([1]retail_sales_cleaned_dataset!B654)</f>
        <v>8</v>
      </c>
      <c r="L654" s="2">
        <f>YEAR([1]retail_sales_cleaned_dataset!B654)</f>
        <v>2025</v>
      </c>
      <c r="M654" s="2" t="str">
        <f t="shared" si="21"/>
        <v>36-45</v>
      </c>
    </row>
    <row r="655" spans="1:13" x14ac:dyDescent="0.25">
      <c r="A655" s="2">
        <v>654</v>
      </c>
      <c r="B655" s="1">
        <v>45896</v>
      </c>
      <c r="C655" t="s">
        <v>120</v>
      </c>
      <c r="D655" t="s">
        <v>9</v>
      </c>
      <c r="E655">
        <v>24</v>
      </c>
      <c r="F655" s="2" t="s">
        <v>13</v>
      </c>
      <c r="G655" s="2">
        <v>3</v>
      </c>
      <c r="H655" s="5">
        <v>25</v>
      </c>
      <c r="I655" s="5">
        <f t="shared" si="20"/>
        <v>75</v>
      </c>
      <c r="J655" s="2" t="str">
        <f>TEXT([1]retail_sales_cleaned_dataset!B655,"mmmm")</f>
        <v>August</v>
      </c>
      <c r="K655" s="2">
        <f>MONTH([1]retail_sales_cleaned_dataset!B655)</f>
        <v>8</v>
      </c>
      <c r="L655" s="2">
        <f>YEAR([1]retail_sales_cleaned_dataset!B655)</f>
        <v>2025</v>
      </c>
      <c r="M655" s="2" t="str">
        <f t="shared" si="21"/>
        <v>18-25</v>
      </c>
    </row>
    <row r="656" spans="1:13" x14ac:dyDescent="0.25">
      <c r="A656" s="2">
        <v>655</v>
      </c>
      <c r="B656" s="1">
        <v>45896</v>
      </c>
      <c r="C656" t="s">
        <v>483</v>
      </c>
      <c r="D656" t="s">
        <v>9</v>
      </c>
      <c r="E656">
        <v>34</v>
      </c>
      <c r="F656" s="2" t="s">
        <v>13</v>
      </c>
      <c r="G656" s="2">
        <v>1</v>
      </c>
      <c r="H656" s="5">
        <v>500</v>
      </c>
      <c r="I656" s="5">
        <f t="shared" si="20"/>
        <v>500</v>
      </c>
      <c r="J656" s="2" t="str">
        <f>TEXT([1]retail_sales_cleaned_dataset!B656,"mmmm")</f>
        <v>August</v>
      </c>
      <c r="K656" s="2">
        <f>MONTH([1]retail_sales_cleaned_dataset!B656)</f>
        <v>8</v>
      </c>
      <c r="L656" s="2">
        <f>YEAR([1]retail_sales_cleaned_dataset!B656)</f>
        <v>2025</v>
      </c>
      <c r="M656" s="2" t="str">
        <f t="shared" si="21"/>
        <v>26-35</v>
      </c>
    </row>
    <row r="657" spans="1:13" x14ac:dyDescent="0.25">
      <c r="A657" s="2">
        <v>656</v>
      </c>
      <c r="B657" s="1">
        <v>45896</v>
      </c>
      <c r="C657" t="s">
        <v>322</v>
      </c>
      <c r="D657" t="s">
        <v>12</v>
      </c>
      <c r="E657">
        <v>37</v>
      </c>
      <c r="F657" s="2" t="s">
        <v>10</v>
      </c>
      <c r="G657" s="2">
        <v>3</v>
      </c>
      <c r="H657" s="5">
        <v>30</v>
      </c>
      <c r="I657" s="5">
        <f t="shared" si="20"/>
        <v>90</v>
      </c>
      <c r="J657" s="2" t="str">
        <f>TEXT([1]retail_sales_cleaned_dataset!B657,"mmmm")</f>
        <v>August</v>
      </c>
      <c r="K657" s="2">
        <f>MONTH([1]retail_sales_cleaned_dataset!B657)</f>
        <v>8</v>
      </c>
      <c r="L657" s="2">
        <f>YEAR([1]retail_sales_cleaned_dataset!B657)</f>
        <v>2025</v>
      </c>
      <c r="M657" s="2" t="str">
        <f t="shared" si="21"/>
        <v>36-45</v>
      </c>
    </row>
    <row r="658" spans="1:13" x14ac:dyDescent="0.25">
      <c r="A658" s="2">
        <v>657</v>
      </c>
      <c r="B658" s="1">
        <v>45897</v>
      </c>
      <c r="C658" t="s">
        <v>484</v>
      </c>
      <c r="D658" t="s">
        <v>9</v>
      </c>
      <c r="E658">
        <v>58</v>
      </c>
      <c r="F658" s="2" t="s">
        <v>13</v>
      </c>
      <c r="G658" s="2">
        <v>1</v>
      </c>
      <c r="H658" s="5">
        <v>25</v>
      </c>
      <c r="I658" s="5">
        <f t="shared" si="20"/>
        <v>25</v>
      </c>
      <c r="J658" s="2" t="str">
        <f>TEXT([1]retail_sales_cleaned_dataset!B658,"mmmm")</f>
        <v>August</v>
      </c>
      <c r="K658" s="2">
        <f>MONTH([1]retail_sales_cleaned_dataset!B658)</f>
        <v>8</v>
      </c>
      <c r="L658" s="2">
        <f>YEAR([1]retail_sales_cleaned_dataset!B658)</f>
        <v>2025</v>
      </c>
      <c r="M658" s="2" t="str">
        <f t="shared" si="21"/>
        <v>46+</v>
      </c>
    </row>
    <row r="659" spans="1:13" x14ac:dyDescent="0.25">
      <c r="A659" s="2">
        <v>658</v>
      </c>
      <c r="B659" s="1">
        <v>45897</v>
      </c>
      <c r="C659" t="s">
        <v>426</v>
      </c>
      <c r="D659" t="s">
        <v>12</v>
      </c>
      <c r="E659">
        <v>37</v>
      </c>
      <c r="F659" s="2" t="s">
        <v>13</v>
      </c>
      <c r="G659" s="2">
        <v>3</v>
      </c>
      <c r="H659" s="5">
        <v>25</v>
      </c>
      <c r="I659" s="5">
        <f t="shared" si="20"/>
        <v>75</v>
      </c>
      <c r="J659" s="2" t="str">
        <f>TEXT([1]retail_sales_cleaned_dataset!B659,"mmmm")</f>
        <v>August</v>
      </c>
      <c r="K659" s="2">
        <f>MONTH([1]retail_sales_cleaned_dataset!B659)</f>
        <v>8</v>
      </c>
      <c r="L659" s="2">
        <f>YEAR([1]retail_sales_cleaned_dataset!B659)</f>
        <v>2025</v>
      </c>
      <c r="M659" s="2" t="str">
        <f t="shared" si="21"/>
        <v>36-45</v>
      </c>
    </row>
    <row r="660" spans="1:13" x14ac:dyDescent="0.25">
      <c r="A660" s="2">
        <v>659</v>
      </c>
      <c r="B660" s="1">
        <v>45897</v>
      </c>
      <c r="C660" t="s">
        <v>485</v>
      </c>
      <c r="D660" t="s">
        <v>12</v>
      </c>
      <c r="E660">
        <v>39</v>
      </c>
      <c r="F660" s="2" t="s">
        <v>15</v>
      </c>
      <c r="G660" s="2">
        <v>1</v>
      </c>
      <c r="H660" s="5">
        <v>30</v>
      </c>
      <c r="I660" s="5">
        <f t="shared" si="20"/>
        <v>30</v>
      </c>
      <c r="J660" s="2" t="str">
        <f>TEXT([1]retail_sales_cleaned_dataset!B660,"mmmm")</f>
        <v>August</v>
      </c>
      <c r="K660" s="2">
        <f>MONTH([1]retail_sales_cleaned_dataset!B660)</f>
        <v>8</v>
      </c>
      <c r="L660" s="2">
        <f>YEAR([1]retail_sales_cleaned_dataset!B660)</f>
        <v>2025</v>
      </c>
      <c r="M660" s="2" t="str">
        <f t="shared" si="21"/>
        <v>36-45</v>
      </c>
    </row>
    <row r="661" spans="1:13" x14ac:dyDescent="0.25">
      <c r="A661" s="2">
        <v>660</v>
      </c>
      <c r="B661" s="1">
        <v>45898</v>
      </c>
      <c r="C661" t="s">
        <v>486</v>
      </c>
      <c r="D661" t="s">
        <v>9</v>
      </c>
      <c r="E661">
        <v>45</v>
      </c>
      <c r="F661" s="2" t="s">
        <v>10</v>
      </c>
      <c r="G661" s="2">
        <v>2</v>
      </c>
      <c r="H661" s="5">
        <v>500</v>
      </c>
      <c r="I661" s="5">
        <f t="shared" si="20"/>
        <v>1000</v>
      </c>
      <c r="J661" s="2" t="str">
        <f>TEXT([1]retail_sales_cleaned_dataset!B661,"mmmm")</f>
        <v>August</v>
      </c>
      <c r="K661" s="2">
        <f>MONTH([1]retail_sales_cleaned_dataset!B661)</f>
        <v>8</v>
      </c>
      <c r="L661" s="2">
        <f>YEAR([1]retail_sales_cleaned_dataset!B661)</f>
        <v>2025</v>
      </c>
      <c r="M661" s="2" t="str">
        <f t="shared" si="21"/>
        <v>36-45</v>
      </c>
    </row>
    <row r="662" spans="1:13" x14ac:dyDescent="0.25">
      <c r="A662" s="2">
        <v>661</v>
      </c>
      <c r="B662" s="1">
        <v>45898</v>
      </c>
      <c r="C662" t="s">
        <v>487</v>
      </c>
      <c r="D662" t="s">
        <v>12</v>
      </c>
      <c r="E662">
        <v>57</v>
      </c>
      <c r="F662" s="2" t="s">
        <v>13</v>
      </c>
      <c r="G662" s="2">
        <v>4</v>
      </c>
      <c r="H662" s="5">
        <v>25</v>
      </c>
      <c r="I662" s="5">
        <f t="shared" si="20"/>
        <v>100</v>
      </c>
      <c r="J662" s="2" t="str">
        <f>TEXT([1]retail_sales_cleaned_dataset!B662,"mmmm")</f>
        <v>August</v>
      </c>
      <c r="K662" s="2">
        <f>MONTH([1]retail_sales_cleaned_dataset!B662)</f>
        <v>8</v>
      </c>
      <c r="L662" s="2">
        <f>YEAR([1]retail_sales_cleaned_dataset!B662)</f>
        <v>2025</v>
      </c>
      <c r="M662" s="2" t="str">
        <f t="shared" si="21"/>
        <v>46+</v>
      </c>
    </row>
    <row r="663" spans="1:13" x14ac:dyDescent="0.25">
      <c r="A663" s="2">
        <v>662</v>
      </c>
      <c r="B663" s="1">
        <v>45898</v>
      </c>
      <c r="C663" t="s">
        <v>14</v>
      </c>
      <c r="D663" t="s">
        <v>9</v>
      </c>
      <c r="E663">
        <v>24</v>
      </c>
      <c r="F663" s="2" t="s">
        <v>10</v>
      </c>
      <c r="G663" s="2">
        <v>2</v>
      </c>
      <c r="H663" s="5">
        <v>500</v>
      </c>
      <c r="I663" s="5">
        <f t="shared" si="20"/>
        <v>1000</v>
      </c>
      <c r="J663" s="2" t="str">
        <f>TEXT([1]retail_sales_cleaned_dataset!B663,"mmmm")</f>
        <v>August</v>
      </c>
      <c r="K663" s="2">
        <f>MONTH([1]retail_sales_cleaned_dataset!B663)</f>
        <v>8</v>
      </c>
      <c r="L663" s="2">
        <f>YEAR([1]retail_sales_cleaned_dataset!B663)</f>
        <v>2025</v>
      </c>
      <c r="M663" s="2" t="str">
        <f t="shared" si="21"/>
        <v>18-25</v>
      </c>
    </row>
    <row r="664" spans="1:13" x14ac:dyDescent="0.25">
      <c r="A664" s="2">
        <v>663</v>
      </c>
      <c r="B664" s="1">
        <v>45898</v>
      </c>
      <c r="C664" t="s">
        <v>75</v>
      </c>
      <c r="D664" t="s">
        <v>12</v>
      </c>
      <c r="E664">
        <v>18</v>
      </c>
      <c r="F664" s="2" t="s">
        <v>13</v>
      </c>
      <c r="G664" s="2">
        <v>4</v>
      </c>
      <c r="H664" s="5">
        <v>300</v>
      </c>
      <c r="I664" s="5">
        <f t="shared" si="20"/>
        <v>1200</v>
      </c>
      <c r="J664" s="2" t="str">
        <f>TEXT([1]retail_sales_cleaned_dataset!B664,"mmmm")</f>
        <v>August</v>
      </c>
      <c r="K664" s="2">
        <f>MONTH([1]retail_sales_cleaned_dataset!B664)</f>
        <v>8</v>
      </c>
      <c r="L664" s="2">
        <f>YEAR([1]retail_sales_cleaned_dataset!B664)</f>
        <v>2025</v>
      </c>
      <c r="M664" s="2" t="str">
        <f t="shared" si="21"/>
        <v>18-25</v>
      </c>
    </row>
    <row r="665" spans="1:13" x14ac:dyDescent="0.25">
      <c r="A665" s="2">
        <v>664</v>
      </c>
      <c r="B665" s="1">
        <v>45900</v>
      </c>
      <c r="C665" t="s">
        <v>488</v>
      </c>
      <c r="D665" t="s">
        <v>12</v>
      </c>
      <c r="E665">
        <v>49</v>
      </c>
      <c r="F665" s="2" t="s">
        <v>13</v>
      </c>
      <c r="G665" s="2">
        <v>4</v>
      </c>
      <c r="H665" s="5">
        <v>500</v>
      </c>
      <c r="I665" s="5">
        <f t="shared" si="20"/>
        <v>2000</v>
      </c>
      <c r="J665" s="2" t="str">
        <f>TEXT([1]retail_sales_cleaned_dataset!B665,"mmmm")</f>
        <v>August</v>
      </c>
      <c r="K665" s="2">
        <f>MONTH([1]retail_sales_cleaned_dataset!B665)</f>
        <v>8</v>
      </c>
      <c r="L665" s="2">
        <f>YEAR([1]retail_sales_cleaned_dataset!B665)</f>
        <v>2025</v>
      </c>
      <c r="M665" s="2" t="str">
        <f t="shared" si="21"/>
        <v>46+</v>
      </c>
    </row>
    <row r="666" spans="1:13" x14ac:dyDescent="0.25">
      <c r="A666" s="2">
        <v>665</v>
      </c>
      <c r="B666" s="1">
        <v>45900</v>
      </c>
      <c r="C666" t="s">
        <v>75</v>
      </c>
      <c r="D666" t="s">
        <v>9</v>
      </c>
      <c r="E666">
        <v>30</v>
      </c>
      <c r="F666" s="2" t="s">
        <v>13</v>
      </c>
      <c r="G666" s="2">
        <v>1</v>
      </c>
      <c r="H666" s="5">
        <v>50</v>
      </c>
      <c r="I666" s="5">
        <f t="shared" si="20"/>
        <v>50</v>
      </c>
      <c r="J666" s="2" t="str">
        <f>TEXT([1]retail_sales_cleaned_dataset!B666,"mmmm")</f>
        <v>August</v>
      </c>
      <c r="K666" s="2">
        <f>MONTH([1]retail_sales_cleaned_dataset!B666)</f>
        <v>8</v>
      </c>
      <c r="L666" s="2">
        <f>YEAR([1]retail_sales_cleaned_dataset!B666)</f>
        <v>2025</v>
      </c>
      <c r="M666" s="2" t="str">
        <f t="shared" si="21"/>
        <v>26-35</v>
      </c>
    </row>
    <row r="667" spans="1:13" x14ac:dyDescent="0.25">
      <c r="A667" s="2">
        <v>666</v>
      </c>
      <c r="B667" s="1">
        <v>45900</v>
      </c>
      <c r="C667" t="s">
        <v>489</v>
      </c>
      <c r="D667" t="s">
        <v>12</v>
      </c>
      <c r="E667">
        <v>47</v>
      </c>
      <c r="F667" s="2" t="s">
        <v>15</v>
      </c>
      <c r="G667" s="2">
        <v>3</v>
      </c>
      <c r="H667" s="5">
        <v>50</v>
      </c>
      <c r="I667" s="5">
        <f t="shared" si="20"/>
        <v>150</v>
      </c>
      <c r="J667" s="2" t="str">
        <f>TEXT([1]retail_sales_cleaned_dataset!B667,"mmmm")</f>
        <v>August</v>
      </c>
      <c r="K667" s="2">
        <f>MONTH([1]retail_sales_cleaned_dataset!B667)</f>
        <v>8</v>
      </c>
      <c r="L667" s="2">
        <f>YEAR([1]retail_sales_cleaned_dataset!B667)</f>
        <v>2025</v>
      </c>
      <c r="M667" s="2" t="str">
        <f t="shared" si="21"/>
        <v>46+</v>
      </c>
    </row>
    <row r="668" spans="1:13" x14ac:dyDescent="0.25">
      <c r="A668" s="2">
        <v>667</v>
      </c>
      <c r="B668" s="1">
        <v>45900</v>
      </c>
      <c r="C668" t="s">
        <v>490</v>
      </c>
      <c r="D668" t="s">
        <v>12</v>
      </c>
      <c r="E668">
        <v>40</v>
      </c>
      <c r="F668" s="2" t="s">
        <v>15</v>
      </c>
      <c r="G668" s="2">
        <v>1</v>
      </c>
      <c r="H668" s="5">
        <v>500</v>
      </c>
      <c r="I668" s="5">
        <f t="shared" si="20"/>
        <v>500</v>
      </c>
      <c r="J668" s="2" t="str">
        <f>TEXT([1]retail_sales_cleaned_dataset!B668,"mmmm")</f>
        <v>August</v>
      </c>
      <c r="K668" s="2">
        <f>MONTH([1]retail_sales_cleaned_dataset!B668)</f>
        <v>8</v>
      </c>
      <c r="L668" s="2">
        <f>YEAR([1]retail_sales_cleaned_dataset!B668)</f>
        <v>2025</v>
      </c>
      <c r="M668" s="2" t="str">
        <f t="shared" si="21"/>
        <v>36-45</v>
      </c>
    </row>
    <row r="669" spans="1:13" x14ac:dyDescent="0.25">
      <c r="A669" s="2">
        <v>668</v>
      </c>
      <c r="B669" s="1">
        <v>45900</v>
      </c>
      <c r="C669" t="s">
        <v>491</v>
      </c>
      <c r="D669" t="s">
        <v>12</v>
      </c>
      <c r="E669">
        <v>36</v>
      </c>
      <c r="F669" s="2" t="s">
        <v>15</v>
      </c>
      <c r="G669" s="2">
        <v>3</v>
      </c>
      <c r="H669" s="5">
        <v>50</v>
      </c>
      <c r="I669" s="5">
        <f t="shared" si="20"/>
        <v>150</v>
      </c>
      <c r="J669" s="2" t="str">
        <f>TEXT([1]retail_sales_cleaned_dataset!B669,"mmmm")</f>
        <v>August</v>
      </c>
      <c r="K669" s="2">
        <f>MONTH([1]retail_sales_cleaned_dataset!B669)</f>
        <v>8</v>
      </c>
      <c r="L669" s="2">
        <f>YEAR([1]retail_sales_cleaned_dataset!B669)</f>
        <v>2025</v>
      </c>
      <c r="M669" s="2" t="str">
        <f t="shared" si="21"/>
        <v>36-45</v>
      </c>
    </row>
    <row r="670" spans="1:13" x14ac:dyDescent="0.25">
      <c r="A670" s="2">
        <v>669</v>
      </c>
      <c r="B670" s="1">
        <v>45901</v>
      </c>
      <c r="C670" t="s">
        <v>14</v>
      </c>
      <c r="D670" t="s">
        <v>12</v>
      </c>
      <c r="E670">
        <v>49</v>
      </c>
      <c r="F670" s="2" t="s">
        <v>10</v>
      </c>
      <c r="G670" s="2">
        <v>4</v>
      </c>
      <c r="H670" s="5">
        <v>300</v>
      </c>
      <c r="I670" s="5">
        <f t="shared" si="20"/>
        <v>1200</v>
      </c>
      <c r="J670" s="2" t="str">
        <f>TEXT([1]retail_sales_cleaned_dataset!B670,"mmmm")</f>
        <v>September</v>
      </c>
      <c r="K670" s="2">
        <f>MONTH([1]retail_sales_cleaned_dataset!B670)</f>
        <v>9</v>
      </c>
      <c r="L670" s="2">
        <f>YEAR([1]retail_sales_cleaned_dataset!B670)</f>
        <v>2025</v>
      </c>
      <c r="M670" s="2" t="str">
        <f t="shared" si="21"/>
        <v>46+</v>
      </c>
    </row>
    <row r="671" spans="1:13" x14ac:dyDescent="0.25">
      <c r="A671" s="2">
        <v>670</v>
      </c>
      <c r="B671" s="1">
        <v>45901</v>
      </c>
      <c r="C671" t="s">
        <v>492</v>
      </c>
      <c r="D671" t="s">
        <v>12</v>
      </c>
      <c r="E671">
        <v>47</v>
      </c>
      <c r="F671" s="2" t="s">
        <v>10</v>
      </c>
      <c r="G671" s="2">
        <v>1</v>
      </c>
      <c r="H671" s="5">
        <v>30</v>
      </c>
      <c r="I671" s="5">
        <f t="shared" si="20"/>
        <v>30</v>
      </c>
      <c r="J671" s="2" t="str">
        <f>TEXT([1]retail_sales_cleaned_dataset!B671,"mmmm")</f>
        <v>September</v>
      </c>
      <c r="K671" s="2">
        <f>MONTH([1]retail_sales_cleaned_dataset!B671)</f>
        <v>9</v>
      </c>
      <c r="L671" s="2">
        <f>YEAR([1]retail_sales_cleaned_dataset!B671)</f>
        <v>2025</v>
      </c>
      <c r="M671" s="2" t="str">
        <f t="shared" si="21"/>
        <v>46+</v>
      </c>
    </row>
    <row r="672" spans="1:13" x14ac:dyDescent="0.25">
      <c r="A672" s="2">
        <v>671</v>
      </c>
      <c r="B672" s="1">
        <v>45901</v>
      </c>
      <c r="C672" t="s">
        <v>225</v>
      </c>
      <c r="D672" t="s">
        <v>9</v>
      </c>
      <c r="E672">
        <v>46</v>
      </c>
      <c r="F672" s="2" t="s">
        <v>15</v>
      </c>
      <c r="G672" s="2">
        <v>3</v>
      </c>
      <c r="H672" s="5">
        <v>50</v>
      </c>
      <c r="I672" s="5">
        <f t="shared" si="20"/>
        <v>150</v>
      </c>
      <c r="J672" s="2" t="str">
        <f>TEXT([1]retail_sales_cleaned_dataset!B672,"mmmm")</f>
        <v>September</v>
      </c>
      <c r="K672" s="2">
        <f>MONTH([1]retail_sales_cleaned_dataset!B672)</f>
        <v>9</v>
      </c>
      <c r="L672" s="2">
        <f>YEAR([1]retail_sales_cleaned_dataset!B672)</f>
        <v>2025</v>
      </c>
      <c r="M672" s="2" t="str">
        <f t="shared" si="21"/>
        <v>46+</v>
      </c>
    </row>
    <row r="673" spans="1:13" x14ac:dyDescent="0.25">
      <c r="A673" s="2">
        <v>672</v>
      </c>
      <c r="B673" s="1">
        <v>45901</v>
      </c>
      <c r="C673" t="s">
        <v>493</v>
      </c>
      <c r="D673" t="s">
        <v>12</v>
      </c>
      <c r="E673">
        <v>62</v>
      </c>
      <c r="F673" s="2" t="s">
        <v>10</v>
      </c>
      <c r="G673" s="2">
        <v>2</v>
      </c>
      <c r="H673" s="5">
        <v>50</v>
      </c>
      <c r="I673" s="5">
        <f t="shared" si="20"/>
        <v>100</v>
      </c>
      <c r="J673" s="2" t="str">
        <f>TEXT([1]retail_sales_cleaned_dataset!B673,"mmmm")</f>
        <v>September</v>
      </c>
      <c r="K673" s="2">
        <f>MONTH([1]retail_sales_cleaned_dataset!B673)</f>
        <v>9</v>
      </c>
      <c r="L673" s="2">
        <f>YEAR([1]retail_sales_cleaned_dataset!B673)</f>
        <v>2025</v>
      </c>
      <c r="M673" s="2" t="str">
        <f t="shared" si="21"/>
        <v>46+</v>
      </c>
    </row>
    <row r="674" spans="1:13" x14ac:dyDescent="0.25">
      <c r="A674" s="2">
        <v>673</v>
      </c>
      <c r="B674" s="1">
        <v>45902</v>
      </c>
      <c r="C674" t="s">
        <v>85</v>
      </c>
      <c r="D674" t="s">
        <v>9</v>
      </c>
      <c r="E674">
        <v>46</v>
      </c>
      <c r="F674" s="2" t="s">
        <v>13</v>
      </c>
      <c r="G674" s="2">
        <v>3</v>
      </c>
      <c r="H674" s="5">
        <v>500</v>
      </c>
      <c r="I674" s="5">
        <f t="shared" si="20"/>
        <v>1500</v>
      </c>
      <c r="J674" s="2" t="str">
        <f>TEXT([1]retail_sales_cleaned_dataset!B674,"mmmm")</f>
        <v>September</v>
      </c>
      <c r="K674" s="2">
        <f>MONTH([1]retail_sales_cleaned_dataset!B674)</f>
        <v>9</v>
      </c>
      <c r="L674" s="2">
        <f>YEAR([1]retail_sales_cleaned_dataset!B674)</f>
        <v>2025</v>
      </c>
      <c r="M674" s="2" t="str">
        <f t="shared" si="21"/>
        <v>46+</v>
      </c>
    </row>
    <row r="675" spans="1:13" x14ac:dyDescent="0.25">
      <c r="A675" s="2">
        <v>674</v>
      </c>
      <c r="B675" s="1">
        <v>45902</v>
      </c>
      <c r="C675" t="s">
        <v>494</v>
      </c>
      <c r="D675" t="s">
        <v>12</v>
      </c>
      <c r="E675">
        <v>47</v>
      </c>
      <c r="F675" s="2" t="s">
        <v>13</v>
      </c>
      <c r="G675" s="2">
        <v>1</v>
      </c>
      <c r="H675" s="5">
        <v>300</v>
      </c>
      <c r="I675" s="5">
        <f t="shared" si="20"/>
        <v>300</v>
      </c>
      <c r="J675" s="2" t="str">
        <f>TEXT([1]retail_sales_cleaned_dataset!B675,"mmmm")</f>
        <v>September</v>
      </c>
      <c r="K675" s="2">
        <f>MONTH([1]retail_sales_cleaned_dataset!B675)</f>
        <v>9</v>
      </c>
      <c r="L675" s="2">
        <f>YEAR([1]retail_sales_cleaned_dataset!B675)</f>
        <v>2025</v>
      </c>
      <c r="M675" s="2" t="str">
        <f t="shared" si="21"/>
        <v>46+</v>
      </c>
    </row>
    <row r="676" spans="1:13" x14ac:dyDescent="0.25">
      <c r="A676" s="2">
        <v>675</v>
      </c>
      <c r="B676" s="1">
        <v>45902</v>
      </c>
      <c r="C676" t="s">
        <v>268</v>
      </c>
      <c r="D676" t="s">
        <v>9</v>
      </c>
      <c r="E676">
        <v>33</v>
      </c>
      <c r="F676" s="2" t="s">
        <v>13</v>
      </c>
      <c r="G676" s="2">
        <v>2</v>
      </c>
      <c r="H676" s="5">
        <v>30</v>
      </c>
      <c r="I676" s="5">
        <f t="shared" si="20"/>
        <v>60</v>
      </c>
      <c r="J676" s="2" t="str">
        <f>TEXT([1]retail_sales_cleaned_dataset!B676,"mmmm")</f>
        <v>September</v>
      </c>
      <c r="K676" s="2">
        <f>MONTH([1]retail_sales_cleaned_dataset!B676)</f>
        <v>9</v>
      </c>
      <c r="L676" s="2">
        <f>YEAR([1]retail_sales_cleaned_dataset!B676)</f>
        <v>2025</v>
      </c>
      <c r="M676" s="2" t="str">
        <f t="shared" si="21"/>
        <v>26-35</v>
      </c>
    </row>
    <row r="677" spans="1:13" x14ac:dyDescent="0.25">
      <c r="A677" s="2">
        <v>676</v>
      </c>
      <c r="B677" s="1">
        <v>45903</v>
      </c>
      <c r="C677" t="s">
        <v>495</v>
      </c>
      <c r="D677" t="s">
        <v>9</v>
      </c>
      <c r="E677">
        <v>57</v>
      </c>
      <c r="F677" s="2" t="s">
        <v>15</v>
      </c>
      <c r="G677" s="2">
        <v>3</v>
      </c>
      <c r="H677" s="5">
        <v>500</v>
      </c>
      <c r="I677" s="5">
        <f t="shared" si="20"/>
        <v>1500</v>
      </c>
      <c r="J677" s="2" t="str">
        <f>TEXT([1]retail_sales_cleaned_dataset!B677,"mmmm")</f>
        <v>September</v>
      </c>
      <c r="K677" s="2">
        <f>MONTH([1]retail_sales_cleaned_dataset!B677)</f>
        <v>9</v>
      </c>
      <c r="L677" s="2">
        <f>YEAR([1]retail_sales_cleaned_dataset!B677)</f>
        <v>2025</v>
      </c>
      <c r="M677" s="2" t="str">
        <f t="shared" si="21"/>
        <v>46+</v>
      </c>
    </row>
    <row r="678" spans="1:13" x14ac:dyDescent="0.25">
      <c r="A678" s="2">
        <v>677</v>
      </c>
      <c r="B678" s="1">
        <v>45904</v>
      </c>
      <c r="C678" t="s">
        <v>301</v>
      </c>
      <c r="D678" t="s">
        <v>12</v>
      </c>
      <c r="E678">
        <v>36</v>
      </c>
      <c r="F678" s="2" t="s">
        <v>10</v>
      </c>
      <c r="G678" s="2">
        <v>3</v>
      </c>
      <c r="H678" s="5">
        <v>500</v>
      </c>
      <c r="I678" s="5">
        <f t="shared" si="20"/>
        <v>1500</v>
      </c>
      <c r="J678" s="2" t="str">
        <f>TEXT([1]retail_sales_cleaned_dataset!B678,"mmmm")</f>
        <v>September</v>
      </c>
      <c r="K678" s="2">
        <f>MONTH([1]retail_sales_cleaned_dataset!B678)</f>
        <v>9</v>
      </c>
      <c r="L678" s="2">
        <f>YEAR([1]retail_sales_cleaned_dataset!B678)</f>
        <v>2025</v>
      </c>
      <c r="M678" s="2" t="str">
        <f t="shared" si="21"/>
        <v>36-45</v>
      </c>
    </row>
    <row r="679" spans="1:13" x14ac:dyDescent="0.25">
      <c r="A679" s="2">
        <v>678</v>
      </c>
      <c r="B679" s="1">
        <v>45905</v>
      </c>
      <c r="C679" t="s">
        <v>496</v>
      </c>
      <c r="D679" t="s">
        <v>12</v>
      </c>
      <c r="E679">
        <v>35</v>
      </c>
      <c r="F679" s="2" t="s">
        <v>15</v>
      </c>
      <c r="G679" s="2">
        <v>3</v>
      </c>
      <c r="H679" s="5">
        <v>300</v>
      </c>
      <c r="I679" s="5">
        <f t="shared" si="20"/>
        <v>900</v>
      </c>
      <c r="J679" s="2" t="str">
        <f>TEXT([1]retail_sales_cleaned_dataset!B679,"mmmm")</f>
        <v>September</v>
      </c>
      <c r="K679" s="2">
        <f>MONTH([1]retail_sales_cleaned_dataset!B679)</f>
        <v>9</v>
      </c>
      <c r="L679" s="2">
        <f>YEAR([1]retail_sales_cleaned_dataset!B679)</f>
        <v>2025</v>
      </c>
      <c r="M679" s="2" t="str">
        <f t="shared" si="21"/>
        <v>26-35</v>
      </c>
    </row>
    <row r="680" spans="1:13" x14ac:dyDescent="0.25">
      <c r="A680" s="2">
        <v>679</v>
      </c>
      <c r="B680" s="1">
        <v>45905</v>
      </c>
      <c r="C680" t="s">
        <v>302</v>
      </c>
      <c r="D680" t="s">
        <v>12</v>
      </c>
      <c r="E680">
        <v>18</v>
      </c>
      <c r="F680" s="2" t="s">
        <v>10</v>
      </c>
      <c r="G680" s="2">
        <v>3</v>
      </c>
      <c r="H680" s="5">
        <v>30</v>
      </c>
      <c r="I680" s="5">
        <f t="shared" si="20"/>
        <v>90</v>
      </c>
      <c r="J680" s="2" t="str">
        <f>TEXT([1]retail_sales_cleaned_dataset!B680,"mmmm")</f>
        <v>September</v>
      </c>
      <c r="K680" s="2">
        <f>MONTH([1]retail_sales_cleaned_dataset!B680)</f>
        <v>9</v>
      </c>
      <c r="L680" s="2">
        <f>YEAR([1]retail_sales_cleaned_dataset!B680)</f>
        <v>2025</v>
      </c>
      <c r="M680" s="2" t="str">
        <f t="shared" si="21"/>
        <v>18-25</v>
      </c>
    </row>
    <row r="681" spans="1:13" x14ac:dyDescent="0.25">
      <c r="A681" s="2">
        <v>680</v>
      </c>
      <c r="B681" s="1">
        <v>45906</v>
      </c>
      <c r="C681" t="s">
        <v>497</v>
      </c>
      <c r="D681" t="s">
        <v>9</v>
      </c>
      <c r="E681">
        <v>31</v>
      </c>
      <c r="F681" s="2" t="s">
        <v>13</v>
      </c>
      <c r="G681" s="2">
        <v>3</v>
      </c>
      <c r="H681" s="5">
        <v>300</v>
      </c>
      <c r="I681" s="5">
        <f t="shared" si="20"/>
        <v>900</v>
      </c>
      <c r="J681" s="2" t="str">
        <f>TEXT([1]retail_sales_cleaned_dataset!B681,"mmmm")</f>
        <v>September</v>
      </c>
      <c r="K681" s="2">
        <f>MONTH([1]retail_sales_cleaned_dataset!B681)</f>
        <v>9</v>
      </c>
      <c r="L681" s="2">
        <f>YEAR([1]retail_sales_cleaned_dataset!B681)</f>
        <v>2025</v>
      </c>
      <c r="M681" s="2" t="str">
        <f t="shared" si="21"/>
        <v>26-35</v>
      </c>
    </row>
    <row r="682" spans="1:13" x14ac:dyDescent="0.25">
      <c r="A682" s="2">
        <v>681</v>
      </c>
      <c r="B682" s="1">
        <v>45906</v>
      </c>
      <c r="C682" t="s">
        <v>88</v>
      </c>
      <c r="D682" t="s">
        <v>12</v>
      </c>
      <c r="E682">
        <v>64</v>
      </c>
      <c r="F682" s="2" t="s">
        <v>15</v>
      </c>
      <c r="G682" s="2">
        <v>2</v>
      </c>
      <c r="H682" s="5">
        <v>30</v>
      </c>
      <c r="I682" s="5">
        <f t="shared" si="20"/>
        <v>60</v>
      </c>
      <c r="J682" s="2" t="str">
        <f>TEXT([1]retail_sales_cleaned_dataset!B682,"mmmm")</f>
        <v>September</v>
      </c>
      <c r="K682" s="2">
        <f>MONTH([1]retail_sales_cleaned_dataset!B682)</f>
        <v>9</v>
      </c>
      <c r="L682" s="2">
        <f>YEAR([1]retail_sales_cleaned_dataset!B682)</f>
        <v>2025</v>
      </c>
      <c r="M682" s="2" t="str">
        <f t="shared" si="21"/>
        <v>46+</v>
      </c>
    </row>
    <row r="683" spans="1:13" x14ac:dyDescent="0.25">
      <c r="A683" s="2">
        <v>682</v>
      </c>
      <c r="B683" s="1">
        <v>45906</v>
      </c>
      <c r="C683" t="s">
        <v>498</v>
      </c>
      <c r="D683" t="s">
        <v>12</v>
      </c>
      <c r="E683">
        <v>31</v>
      </c>
      <c r="F683" s="2" t="s">
        <v>10</v>
      </c>
      <c r="G683" s="2">
        <v>4</v>
      </c>
      <c r="H683" s="5">
        <v>300</v>
      </c>
      <c r="I683" s="5">
        <f t="shared" si="20"/>
        <v>1200</v>
      </c>
      <c r="J683" s="2" t="str">
        <f>TEXT([1]retail_sales_cleaned_dataset!B683,"mmmm")</f>
        <v>September</v>
      </c>
      <c r="K683" s="2">
        <f>MONTH([1]retail_sales_cleaned_dataset!B683)</f>
        <v>9</v>
      </c>
      <c r="L683" s="2">
        <f>YEAR([1]retail_sales_cleaned_dataset!B683)</f>
        <v>2025</v>
      </c>
      <c r="M683" s="2" t="str">
        <f t="shared" si="21"/>
        <v>26-35</v>
      </c>
    </row>
    <row r="684" spans="1:13" x14ac:dyDescent="0.25">
      <c r="A684" s="2">
        <v>683</v>
      </c>
      <c r="B684" s="1">
        <v>45906</v>
      </c>
      <c r="C684" t="s">
        <v>319</v>
      </c>
      <c r="D684" t="s">
        <v>9</v>
      </c>
      <c r="E684">
        <v>55</v>
      </c>
      <c r="F684" s="2" t="s">
        <v>10</v>
      </c>
      <c r="G684" s="2">
        <v>2</v>
      </c>
      <c r="H684" s="5">
        <v>500</v>
      </c>
      <c r="I684" s="5">
        <f t="shared" si="20"/>
        <v>1000</v>
      </c>
      <c r="J684" s="2" t="str">
        <f>TEXT([1]retail_sales_cleaned_dataset!B684,"mmmm")</f>
        <v>September</v>
      </c>
      <c r="K684" s="2">
        <f>MONTH([1]retail_sales_cleaned_dataset!B684)</f>
        <v>9</v>
      </c>
      <c r="L684" s="2">
        <f>YEAR([1]retail_sales_cleaned_dataset!B684)</f>
        <v>2025</v>
      </c>
      <c r="M684" s="2" t="str">
        <f t="shared" si="21"/>
        <v>46+</v>
      </c>
    </row>
    <row r="685" spans="1:13" x14ac:dyDescent="0.25">
      <c r="A685" s="2">
        <v>684</v>
      </c>
      <c r="B685" s="1">
        <v>45906</v>
      </c>
      <c r="C685" t="s">
        <v>499</v>
      </c>
      <c r="D685" t="s">
        <v>9</v>
      </c>
      <c r="E685">
        <v>53</v>
      </c>
      <c r="F685" s="2" t="s">
        <v>13</v>
      </c>
      <c r="G685" s="2">
        <v>2</v>
      </c>
      <c r="H685" s="5">
        <v>500</v>
      </c>
      <c r="I685" s="5">
        <f t="shared" si="20"/>
        <v>1000</v>
      </c>
      <c r="J685" s="2" t="str">
        <f>TEXT([1]retail_sales_cleaned_dataset!B685,"mmmm")</f>
        <v>September</v>
      </c>
      <c r="K685" s="2">
        <f>MONTH([1]retail_sales_cleaned_dataset!B685)</f>
        <v>9</v>
      </c>
      <c r="L685" s="2">
        <f>YEAR([1]retail_sales_cleaned_dataset!B685)</f>
        <v>2025</v>
      </c>
      <c r="M685" s="2" t="str">
        <f t="shared" si="21"/>
        <v>46+</v>
      </c>
    </row>
    <row r="686" spans="1:13" x14ac:dyDescent="0.25">
      <c r="A686" s="2">
        <v>685</v>
      </c>
      <c r="B686" s="1">
        <v>45907</v>
      </c>
      <c r="C686" t="s">
        <v>500</v>
      </c>
      <c r="D686" t="s">
        <v>9</v>
      </c>
      <c r="E686">
        <v>50</v>
      </c>
      <c r="F686" s="2" t="s">
        <v>15</v>
      </c>
      <c r="G686" s="2">
        <v>2</v>
      </c>
      <c r="H686" s="5">
        <v>25</v>
      </c>
      <c r="I686" s="5">
        <f t="shared" si="20"/>
        <v>50</v>
      </c>
      <c r="J686" s="2" t="str">
        <f>TEXT([1]retail_sales_cleaned_dataset!B686,"mmmm")</f>
        <v>September</v>
      </c>
      <c r="K686" s="2">
        <f>MONTH([1]retail_sales_cleaned_dataset!B686)</f>
        <v>9</v>
      </c>
      <c r="L686" s="2">
        <f>YEAR([1]retail_sales_cleaned_dataset!B686)</f>
        <v>2025</v>
      </c>
      <c r="M686" s="2" t="str">
        <f t="shared" si="21"/>
        <v>46+</v>
      </c>
    </row>
    <row r="687" spans="1:13" x14ac:dyDescent="0.25">
      <c r="A687" s="2">
        <v>686</v>
      </c>
      <c r="B687" s="1">
        <v>45907</v>
      </c>
      <c r="C687" t="s">
        <v>501</v>
      </c>
      <c r="D687" t="s">
        <v>12</v>
      </c>
      <c r="E687">
        <v>40</v>
      </c>
      <c r="F687" s="2" t="s">
        <v>15</v>
      </c>
      <c r="G687" s="2">
        <v>4</v>
      </c>
      <c r="H687" s="5">
        <v>50</v>
      </c>
      <c r="I687" s="5">
        <f t="shared" si="20"/>
        <v>200</v>
      </c>
      <c r="J687" s="2" t="str">
        <f>TEXT([1]retail_sales_cleaned_dataset!B687,"mmmm")</f>
        <v>September</v>
      </c>
      <c r="K687" s="2">
        <f>MONTH([1]retail_sales_cleaned_dataset!B687)</f>
        <v>9</v>
      </c>
      <c r="L687" s="2">
        <f>YEAR([1]retail_sales_cleaned_dataset!B687)</f>
        <v>2025</v>
      </c>
      <c r="M687" s="2" t="str">
        <f t="shared" si="21"/>
        <v>36-45</v>
      </c>
    </row>
    <row r="688" spans="1:13" x14ac:dyDescent="0.25">
      <c r="A688" s="2">
        <v>687</v>
      </c>
      <c r="B688" s="1">
        <v>45907</v>
      </c>
      <c r="C688" t="s">
        <v>502</v>
      </c>
      <c r="D688" t="s">
        <v>9</v>
      </c>
      <c r="E688">
        <v>61</v>
      </c>
      <c r="F688" s="2" t="s">
        <v>15</v>
      </c>
      <c r="G688" s="2">
        <v>1</v>
      </c>
      <c r="H688" s="5">
        <v>300</v>
      </c>
      <c r="I688" s="5">
        <f t="shared" si="20"/>
        <v>300</v>
      </c>
      <c r="J688" s="2" t="str">
        <f>TEXT([1]retail_sales_cleaned_dataset!B688,"mmmm")</f>
        <v>September</v>
      </c>
      <c r="K688" s="2">
        <f>MONTH([1]retail_sales_cleaned_dataset!B688)</f>
        <v>9</v>
      </c>
      <c r="L688" s="2">
        <f>YEAR([1]retail_sales_cleaned_dataset!B688)</f>
        <v>2025</v>
      </c>
      <c r="M688" s="2" t="str">
        <f t="shared" si="21"/>
        <v>46+</v>
      </c>
    </row>
    <row r="689" spans="1:13" x14ac:dyDescent="0.25">
      <c r="A689" s="2">
        <v>688</v>
      </c>
      <c r="B689" s="1">
        <v>45908</v>
      </c>
      <c r="C689" t="s">
        <v>503</v>
      </c>
      <c r="D689" t="s">
        <v>12</v>
      </c>
      <c r="E689">
        <v>19</v>
      </c>
      <c r="F689" s="2" t="s">
        <v>13</v>
      </c>
      <c r="G689" s="2">
        <v>4</v>
      </c>
      <c r="H689" s="5">
        <v>25</v>
      </c>
      <c r="I689" s="5">
        <f t="shared" si="20"/>
        <v>100</v>
      </c>
      <c r="J689" s="2" t="str">
        <f>TEXT([1]retail_sales_cleaned_dataset!B689,"mmmm")</f>
        <v>September</v>
      </c>
      <c r="K689" s="2">
        <f>MONTH([1]retail_sales_cleaned_dataset!B689)</f>
        <v>9</v>
      </c>
      <c r="L689" s="2">
        <f>YEAR([1]retail_sales_cleaned_dataset!B689)</f>
        <v>2025</v>
      </c>
      <c r="M689" s="2" t="str">
        <f t="shared" si="21"/>
        <v>18-25</v>
      </c>
    </row>
    <row r="690" spans="1:13" x14ac:dyDescent="0.25">
      <c r="A690" s="2">
        <v>689</v>
      </c>
      <c r="B690" s="1">
        <v>45908</v>
      </c>
      <c r="C690" t="s">
        <v>504</v>
      </c>
      <c r="D690" t="s">
        <v>9</v>
      </c>
      <c r="E690">
        <v>19</v>
      </c>
      <c r="F690" s="2" t="s">
        <v>15</v>
      </c>
      <c r="G690" s="2">
        <v>2</v>
      </c>
      <c r="H690" s="5">
        <v>50</v>
      </c>
      <c r="I690" s="5">
        <f t="shared" si="20"/>
        <v>100</v>
      </c>
      <c r="J690" s="2" t="str">
        <f>TEXT([1]retail_sales_cleaned_dataset!B690,"mmmm")</f>
        <v>September</v>
      </c>
      <c r="K690" s="2">
        <f>MONTH([1]retail_sales_cleaned_dataset!B690)</f>
        <v>9</v>
      </c>
      <c r="L690" s="2">
        <f>YEAR([1]retail_sales_cleaned_dataset!B690)</f>
        <v>2025</v>
      </c>
      <c r="M690" s="2" t="str">
        <f t="shared" si="21"/>
        <v>18-25</v>
      </c>
    </row>
    <row r="691" spans="1:13" x14ac:dyDescent="0.25">
      <c r="A691" s="2">
        <v>690</v>
      </c>
      <c r="B691" s="1">
        <v>45908</v>
      </c>
      <c r="C691" t="s">
        <v>505</v>
      </c>
      <c r="D691" t="s">
        <v>12</v>
      </c>
      <c r="E691">
        <v>37</v>
      </c>
      <c r="F691" s="2" t="s">
        <v>13</v>
      </c>
      <c r="G691" s="2">
        <v>3</v>
      </c>
      <c r="H691" s="5">
        <v>300</v>
      </c>
      <c r="I691" s="5">
        <f t="shared" si="20"/>
        <v>900</v>
      </c>
      <c r="J691" s="2" t="str">
        <f>TEXT([1]retail_sales_cleaned_dataset!B691,"mmmm")</f>
        <v>September</v>
      </c>
      <c r="K691" s="2">
        <f>MONTH([1]retail_sales_cleaned_dataset!B691)</f>
        <v>9</v>
      </c>
      <c r="L691" s="2">
        <f>YEAR([1]retail_sales_cleaned_dataset!B691)</f>
        <v>2025</v>
      </c>
      <c r="M691" s="2" t="str">
        <f t="shared" si="21"/>
        <v>36-45</v>
      </c>
    </row>
    <row r="692" spans="1:13" x14ac:dyDescent="0.25">
      <c r="A692" s="2">
        <v>691</v>
      </c>
      <c r="B692" s="1">
        <v>45908</v>
      </c>
      <c r="C692" t="s">
        <v>506</v>
      </c>
      <c r="D692" t="s">
        <v>9</v>
      </c>
      <c r="E692">
        <v>54</v>
      </c>
      <c r="F692" s="2" t="s">
        <v>13</v>
      </c>
      <c r="G692" s="2">
        <v>3</v>
      </c>
      <c r="H692" s="5">
        <v>30</v>
      </c>
      <c r="I692" s="5">
        <f t="shared" si="20"/>
        <v>90</v>
      </c>
      <c r="J692" s="2" t="str">
        <f>TEXT([1]retail_sales_cleaned_dataset!B692,"mmmm")</f>
        <v>September</v>
      </c>
      <c r="K692" s="2">
        <f>MONTH([1]retail_sales_cleaned_dataset!B692)</f>
        <v>9</v>
      </c>
      <c r="L692" s="2">
        <f>YEAR([1]retail_sales_cleaned_dataset!B692)</f>
        <v>2025</v>
      </c>
      <c r="M692" s="2" t="str">
        <f t="shared" si="21"/>
        <v>46+</v>
      </c>
    </row>
    <row r="693" spans="1:13" x14ac:dyDescent="0.25">
      <c r="A693" s="2">
        <v>692</v>
      </c>
      <c r="B693" s="1">
        <v>45909</v>
      </c>
      <c r="C693" t="s">
        <v>507</v>
      </c>
      <c r="D693" t="s">
        <v>12</v>
      </c>
      <c r="E693">
        <v>26</v>
      </c>
      <c r="F693" s="2" t="s">
        <v>13</v>
      </c>
      <c r="G693" s="2">
        <v>2</v>
      </c>
      <c r="H693" s="5">
        <v>50</v>
      </c>
      <c r="I693" s="5">
        <f t="shared" si="20"/>
        <v>100</v>
      </c>
      <c r="J693" s="2" t="str">
        <f>TEXT([1]retail_sales_cleaned_dataset!B693,"mmmm")</f>
        <v>September</v>
      </c>
      <c r="K693" s="2">
        <f>MONTH([1]retail_sales_cleaned_dataset!B693)</f>
        <v>9</v>
      </c>
      <c r="L693" s="2">
        <f>YEAR([1]retail_sales_cleaned_dataset!B693)</f>
        <v>2025</v>
      </c>
      <c r="M693" s="2" t="str">
        <f t="shared" si="21"/>
        <v>26-35</v>
      </c>
    </row>
    <row r="694" spans="1:13" x14ac:dyDescent="0.25">
      <c r="A694" s="2">
        <v>693</v>
      </c>
      <c r="B694" s="1">
        <v>45909</v>
      </c>
      <c r="C694" t="s">
        <v>320</v>
      </c>
      <c r="D694" t="s">
        <v>9</v>
      </c>
      <c r="E694">
        <v>22</v>
      </c>
      <c r="F694" s="2" t="s">
        <v>10</v>
      </c>
      <c r="G694" s="2">
        <v>3</v>
      </c>
      <c r="H694" s="5">
        <v>500</v>
      </c>
      <c r="I694" s="5">
        <f t="shared" si="20"/>
        <v>1500</v>
      </c>
      <c r="J694" s="2" t="str">
        <f>TEXT([1]retail_sales_cleaned_dataset!B694,"mmmm")</f>
        <v>September</v>
      </c>
      <c r="K694" s="2">
        <f>MONTH([1]retail_sales_cleaned_dataset!B694)</f>
        <v>9</v>
      </c>
      <c r="L694" s="2">
        <f>YEAR([1]retail_sales_cleaned_dataset!B694)</f>
        <v>2025</v>
      </c>
      <c r="M694" s="2" t="str">
        <f t="shared" si="21"/>
        <v>18-25</v>
      </c>
    </row>
    <row r="695" spans="1:13" x14ac:dyDescent="0.25">
      <c r="A695" s="2">
        <v>694</v>
      </c>
      <c r="B695" s="1">
        <v>45909</v>
      </c>
      <c r="C695" t="s">
        <v>508</v>
      </c>
      <c r="D695" t="s">
        <v>12</v>
      </c>
      <c r="E695">
        <v>28</v>
      </c>
      <c r="F695" s="2" t="s">
        <v>15</v>
      </c>
      <c r="G695" s="2">
        <v>2</v>
      </c>
      <c r="H695" s="5">
        <v>25</v>
      </c>
      <c r="I695" s="5">
        <f t="shared" si="20"/>
        <v>50</v>
      </c>
      <c r="J695" s="2" t="str">
        <f>TEXT([1]retail_sales_cleaned_dataset!B695,"mmmm")</f>
        <v>September</v>
      </c>
      <c r="K695" s="2">
        <f>MONTH([1]retail_sales_cleaned_dataset!B695)</f>
        <v>9</v>
      </c>
      <c r="L695" s="2">
        <f>YEAR([1]retail_sales_cleaned_dataset!B695)</f>
        <v>2025</v>
      </c>
      <c r="M695" s="2" t="str">
        <f t="shared" si="21"/>
        <v>26-35</v>
      </c>
    </row>
    <row r="696" spans="1:13" x14ac:dyDescent="0.25">
      <c r="A696" s="2">
        <v>695</v>
      </c>
      <c r="B696" s="1">
        <v>45910</v>
      </c>
      <c r="C696" t="s">
        <v>509</v>
      </c>
      <c r="D696" t="s">
        <v>12</v>
      </c>
      <c r="E696">
        <v>26</v>
      </c>
      <c r="F696" s="2" t="s">
        <v>15</v>
      </c>
      <c r="G696" s="2">
        <v>3</v>
      </c>
      <c r="H696" s="5">
        <v>50</v>
      </c>
      <c r="I696" s="5">
        <f t="shared" si="20"/>
        <v>150</v>
      </c>
      <c r="J696" s="2" t="str">
        <f>TEXT([1]retail_sales_cleaned_dataset!B696,"mmmm")</f>
        <v>September</v>
      </c>
      <c r="K696" s="2">
        <f>MONTH([1]retail_sales_cleaned_dataset!B696)</f>
        <v>9</v>
      </c>
      <c r="L696" s="2">
        <f>YEAR([1]retail_sales_cleaned_dataset!B696)</f>
        <v>2025</v>
      </c>
      <c r="M696" s="2" t="str">
        <f t="shared" si="21"/>
        <v>26-35</v>
      </c>
    </row>
    <row r="697" spans="1:13" x14ac:dyDescent="0.25">
      <c r="A697" s="2">
        <v>696</v>
      </c>
      <c r="B697" s="1">
        <v>45911</v>
      </c>
      <c r="C697" t="s">
        <v>510</v>
      </c>
      <c r="D697" t="s">
        <v>9</v>
      </c>
      <c r="E697">
        <v>51</v>
      </c>
      <c r="F697" s="2" t="s">
        <v>13</v>
      </c>
      <c r="G697" s="2">
        <v>4</v>
      </c>
      <c r="H697" s="5">
        <v>50</v>
      </c>
      <c r="I697" s="5">
        <f t="shared" si="20"/>
        <v>200</v>
      </c>
      <c r="J697" s="2" t="str">
        <f>TEXT([1]retail_sales_cleaned_dataset!B697,"mmmm")</f>
        <v>September</v>
      </c>
      <c r="K697" s="2">
        <f>MONTH([1]retail_sales_cleaned_dataset!B697)</f>
        <v>9</v>
      </c>
      <c r="L697" s="2">
        <f>YEAR([1]retail_sales_cleaned_dataset!B697)</f>
        <v>2025</v>
      </c>
      <c r="M697" s="2" t="str">
        <f t="shared" si="21"/>
        <v>46+</v>
      </c>
    </row>
    <row r="698" spans="1:13" x14ac:dyDescent="0.25">
      <c r="A698" s="2">
        <v>697</v>
      </c>
      <c r="B698" s="1">
        <v>45911</v>
      </c>
      <c r="C698" t="s">
        <v>423</v>
      </c>
      <c r="D698" t="s">
        <v>12</v>
      </c>
      <c r="E698">
        <v>52</v>
      </c>
      <c r="F698" s="2" t="s">
        <v>13</v>
      </c>
      <c r="G698" s="2">
        <v>1</v>
      </c>
      <c r="H698" s="5">
        <v>500</v>
      </c>
      <c r="I698" s="5">
        <f t="shared" si="20"/>
        <v>500</v>
      </c>
      <c r="J698" s="2" t="str">
        <f>TEXT([1]retail_sales_cleaned_dataset!B698,"mmmm")</f>
        <v>September</v>
      </c>
      <c r="K698" s="2">
        <f>MONTH([1]retail_sales_cleaned_dataset!B698)</f>
        <v>9</v>
      </c>
      <c r="L698" s="2">
        <f>YEAR([1]retail_sales_cleaned_dataset!B698)</f>
        <v>2025</v>
      </c>
      <c r="M698" s="2" t="str">
        <f t="shared" si="21"/>
        <v>46+</v>
      </c>
    </row>
    <row r="699" spans="1:13" x14ac:dyDescent="0.25">
      <c r="A699" s="2">
        <v>698</v>
      </c>
      <c r="B699" s="1">
        <v>45913</v>
      </c>
      <c r="C699" t="s">
        <v>511</v>
      </c>
      <c r="D699" t="s">
        <v>12</v>
      </c>
      <c r="E699">
        <v>52</v>
      </c>
      <c r="F699" s="2" t="s">
        <v>15</v>
      </c>
      <c r="G699" s="2">
        <v>1</v>
      </c>
      <c r="H699" s="5">
        <v>300</v>
      </c>
      <c r="I699" s="5">
        <f t="shared" si="20"/>
        <v>300</v>
      </c>
      <c r="J699" s="2" t="str">
        <f>TEXT([1]retail_sales_cleaned_dataset!B699,"mmmm")</f>
        <v>September</v>
      </c>
      <c r="K699" s="2">
        <f>MONTH([1]retail_sales_cleaned_dataset!B699)</f>
        <v>9</v>
      </c>
      <c r="L699" s="2">
        <f>YEAR([1]retail_sales_cleaned_dataset!B699)</f>
        <v>2025</v>
      </c>
      <c r="M699" s="2" t="str">
        <f t="shared" si="21"/>
        <v>46+</v>
      </c>
    </row>
    <row r="700" spans="1:13" x14ac:dyDescent="0.25">
      <c r="A700" s="2">
        <v>699</v>
      </c>
      <c r="B700" s="1">
        <v>45914</v>
      </c>
      <c r="C700" t="s">
        <v>512</v>
      </c>
      <c r="D700" t="s">
        <v>9</v>
      </c>
      <c r="E700">
        <v>57</v>
      </c>
      <c r="F700" s="2" t="s">
        <v>13</v>
      </c>
      <c r="G700" s="2">
        <v>4</v>
      </c>
      <c r="H700" s="5">
        <v>30</v>
      </c>
      <c r="I700" s="5">
        <f t="shared" si="20"/>
        <v>120</v>
      </c>
      <c r="J700" s="2" t="str">
        <f>TEXT([1]retail_sales_cleaned_dataset!B700,"mmmm")</f>
        <v>September</v>
      </c>
      <c r="K700" s="2">
        <f>MONTH([1]retail_sales_cleaned_dataset!B700)</f>
        <v>9</v>
      </c>
      <c r="L700" s="2">
        <f>YEAR([1]retail_sales_cleaned_dataset!B700)</f>
        <v>2025</v>
      </c>
      <c r="M700" s="2" t="str">
        <f t="shared" si="21"/>
        <v>46+</v>
      </c>
    </row>
    <row r="701" spans="1:13" x14ac:dyDescent="0.25">
      <c r="A701" s="2">
        <v>700</v>
      </c>
      <c r="B701" s="1">
        <v>45915</v>
      </c>
      <c r="C701" t="s">
        <v>216</v>
      </c>
      <c r="D701" t="s">
        <v>12</v>
      </c>
      <c r="E701">
        <v>46</v>
      </c>
      <c r="F701" s="2" t="s">
        <v>15</v>
      </c>
      <c r="G701" s="2">
        <v>4</v>
      </c>
      <c r="H701" s="5">
        <v>500</v>
      </c>
      <c r="I701" s="5">
        <f t="shared" si="20"/>
        <v>2000</v>
      </c>
      <c r="J701" s="2" t="str">
        <f>TEXT([1]retail_sales_cleaned_dataset!B701,"mmmm")</f>
        <v>September</v>
      </c>
      <c r="K701" s="2">
        <f>MONTH([1]retail_sales_cleaned_dataset!B701)</f>
        <v>9</v>
      </c>
      <c r="L701" s="2">
        <f>YEAR([1]retail_sales_cleaned_dataset!B701)</f>
        <v>2025</v>
      </c>
      <c r="M701" s="2" t="str">
        <f t="shared" si="21"/>
        <v>46+</v>
      </c>
    </row>
    <row r="702" spans="1:13" x14ac:dyDescent="0.25">
      <c r="A702" s="2">
        <v>701</v>
      </c>
      <c r="B702" s="1">
        <v>45916</v>
      </c>
      <c r="C702" t="s">
        <v>513</v>
      </c>
      <c r="D702" t="s">
        <v>9</v>
      </c>
      <c r="E702">
        <v>28</v>
      </c>
      <c r="F702" s="2" t="s">
        <v>10</v>
      </c>
      <c r="G702" s="2">
        <v>2</v>
      </c>
      <c r="H702" s="5">
        <v>30</v>
      </c>
      <c r="I702" s="5">
        <f t="shared" si="20"/>
        <v>60</v>
      </c>
      <c r="J702" s="2" t="str">
        <f>TEXT([1]retail_sales_cleaned_dataset!B702,"mmmm")</f>
        <v>September</v>
      </c>
      <c r="K702" s="2">
        <f>MONTH([1]retail_sales_cleaned_dataset!B702)</f>
        <v>9</v>
      </c>
      <c r="L702" s="2">
        <f>YEAR([1]retail_sales_cleaned_dataset!B702)</f>
        <v>2025</v>
      </c>
      <c r="M702" s="2" t="str">
        <f t="shared" si="21"/>
        <v>26-35</v>
      </c>
    </row>
    <row r="703" spans="1:13" x14ac:dyDescent="0.25">
      <c r="A703" s="2">
        <v>702</v>
      </c>
      <c r="B703" s="1">
        <v>45916</v>
      </c>
      <c r="C703" t="s">
        <v>763</v>
      </c>
      <c r="D703" t="s">
        <v>9</v>
      </c>
      <c r="E703">
        <v>58</v>
      </c>
      <c r="F703" s="2" t="s">
        <v>13</v>
      </c>
      <c r="G703" s="2">
        <v>2</v>
      </c>
      <c r="H703" s="5">
        <v>300</v>
      </c>
      <c r="I703" s="5">
        <f t="shared" si="20"/>
        <v>600</v>
      </c>
      <c r="J703" s="2" t="str">
        <f>TEXT([1]retail_sales_cleaned_dataset!B703,"mmmm")</f>
        <v>September</v>
      </c>
      <c r="K703" s="2">
        <f>MONTH([1]retail_sales_cleaned_dataset!B703)</f>
        <v>9</v>
      </c>
      <c r="L703" s="2">
        <f>YEAR([1]retail_sales_cleaned_dataset!B703)</f>
        <v>2025</v>
      </c>
      <c r="M703" s="2" t="str">
        <f t="shared" si="21"/>
        <v>46+</v>
      </c>
    </row>
    <row r="704" spans="1:13" x14ac:dyDescent="0.25">
      <c r="A704" s="2">
        <v>703</v>
      </c>
      <c r="B704" s="1">
        <v>45916</v>
      </c>
      <c r="C704" t="s">
        <v>316</v>
      </c>
      <c r="D704" t="s">
        <v>12</v>
      </c>
      <c r="E704">
        <v>54</v>
      </c>
      <c r="F704" s="2" t="s">
        <v>15</v>
      </c>
      <c r="G704" s="2">
        <v>2</v>
      </c>
      <c r="H704" s="5">
        <v>50</v>
      </c>
      <c r="I704" s="5">
        <f t="shared" si="20"/>
        <v>100</v>
      </c>
      <c r="J704" s="2" t="str">
        <f>TEXT([1]retail_sales_cleaned_dataset!B704,"mmmm")</f>
        <v>September</v>
      </c>
      <c r="K704" s="2">
        <f>MONTH([1]retail_sales_cleaned_dataset!B704)</f>
        <v>9</v>
      </c>
      <c r="L704" s="2">
        <f>YEAR([1]retail_sales_cleaned_dataset!B704)</f>
        <v>2025</v>
      </c>
      <c r="M704" s="2" t="str">
        <f t="shared" si="21"/>
        <v>46+</v>
      </c>
    </row>
    <row r="705" spans="1:13" x14ac:dyDescent="0.25">
      <c r="A705" s="2">
        <v>704</v>
      </c>
      <c r="B705" s="1">
        <v>45917</v>
      </c>
      <c r="C705" t="s">
        <v>514</v>
      </c>
      <c r="D705" t="s">
        <v>9</v>
      </c>
      <c r="E705">
        <v>31</v>
      </c>
      <c r="F705" s="2" t="s">
        <v>13</v>
      </c>
      <c r="G705" s="2">
        <v>3</v>
      </c>
      <c r="H705" s="5">
        <v>30</v>
      </c>
      <c r="I705" s="5">
        <f t="shared" si="20"/>
        <v>90</v>
      </c>
      <c r="J705" s="2" t="str">
        <f>TEXT([1]retail_sales_cleaned_dataset!B705,"mmmm")</f>
        <v>September</v>
      </c>
      <c r="K705" s="2">
        <f>MONTH([1]retail_sales_cleaned_dataset!B705)</f>
        <v>9</v>
      </c>
      <c r="L705" s="2">
        <f>YEAR([1]retail_sales_cleaned_dataset!B705)</f>
        <v>2025</v>
      </c>
      <c r="M705" s="2" t="str">
        <f t="shared" si="21"/>
        <v>26-35</v>
      </c>
    </row>
    <row r="706" spans="1:13" x14ac:dyDescent="0.25">
      <c r="A706" s="2">
        <v>705</v>
      </c>
      <c r="B706" s="1">
        <v>45917</v>
      </c>
      <c r="C706" t="s">
        <v>75</v>
      </c>
      <c r="D706" t="s">
        <v>12</v>
      </c>
      <c r="E706">
        <v>22</v>
      </c>
      <c r="F706" s="2" t="s">
        <v>15</v>
      </c>
      <c r="G706" s="2">
        <v>2</v>
      </c>
      <c r="H706" s="5">
        <v>25</v>
      </c>
      <c r="I706" s="5">
        <f t="shared" ref="I706:I769" si="22">G706*H706</f>
        <v>50</v>
      </c>
      <c r="J706" s="2" t="str">
        <f>TEXT([1]retail_sales_cleaned_dataset!B706,"mmmm")</f>
        <v>September</v>
      </c>
      <c r="K706" s="2">
        <f>MONTH([1]retail_sales_cleaned_dataset!B706)</f>
        <v>9</v>
      </c>
      <c r="L706" s="2">
        <f>YEAR([1]retail_sales_cleaned_dataset!B706)</f>
        <v>2025</v>
      </c>
      <c r="M706" s="2" t="str">
        <f t="shared" ref="M706:M769" si="23">IF(E706&lt;=25,"18-25",IF(E706&lt;=35,"26-35",IF(E706&lt;=45,"36-45","46+")))</f>
        <v>18-25</v>
      </c>
    </row>
    <row r="707" spans="1:13" x14ac:dyDescent="0.25">
      <c r="A707" s="2">
        <v>706</v>
      </c>
      <c r="B707" s="1">
        <v>45917</v>
      </c>
      <c r="C707" t="s">
        <v>515</v>
      </c>
      <c r="D707" t="s">
        <v>9</v>
      </c>
      <c r="E707">
        <v>21</v>
      </c>
      <c r="F707" s="2" t="s">
        <v>15</v>
      </c>
      <c r="G707" s="2">
        <v>4</v>
      </c>
      <c r="H707" s="5">
        <v>25</v>
      </c>
      <c r="I707" s="5">
        <f t="shared" si="22"/>
        <v>100</v>
      </c>
      <c r="J707" s="2" t="str">
        <f>TEXT([1]retail_sales_cleaned_dataset!B707,"mmmm")</f>
        <v>September</v>
      </c>
      <c r="K707" s="2">
        <f>MONTH([1]retail_sales_cleaned_dataset!B707)</f>
        <v>9</v>
      </c>
      <c r="L707" s="2">
        <f>YEAR([1]retail_sales_cleaned_dataset!B707)</f>
        <v>2025</v>
      </c>
      <c r="M707" s="2" t="str">
        <f t="shared" si="23"/>
        <v>18-25</v>
      </c>
    </row>
    <row r="708" spans="1:13" x14ac:dyDescent="0.25">
      <c r="A708" s="2">
        <v>707</v>
      </c>
      <c r="B708" s="1">
        <v>45917</v>
      </c>
      <c r="C708" t="s">
        <v>38</v>
      </c>
      <c r="D708" t="s">
        <v>9</v>
      </c>
      <c r="E708">
        <v>62</v>
      </c>
      <c r="F708" s="2" t="s">
        <v>13</v>
      </c>
      <c r="G708" s="2">
        <v>1</v>
      </c>
      <c r="H708" s="5">
        <v>500</v>
      </c>
      <c r="I708" s="5">
        <f t="shared" si="22"/>
        <v>500</v>
      </c>
      <c r="J708" s="2" t="str">
        <f>TEXT([1]retail_sales_cleaned_dataset!B708,"mmmm")</f>
        <v>September</v>
      </c>
      <c r="K708" s="2">
        <f>MONTH([1]retail_sales_cleaned_dataset!B708)</f>
        <v>9</v>
      </c>
      <c r="L708" s="2">
        <f>YEAR([1]retail_sales_cleaned_dataset!B708)</f>
        <v>2025</v>
      </c>
      <c r="M708" s="2" t="str">
        <f t="shared" si="23"/>
        <v>46+</v>
      </c>
    </row>
    <row r="709" spans="1:13" x14ac:dyDescent="0.25">
      <c r="A709" s="2">
        <v>708</v>
      </c>
      <c r="B709" s="1">
        <v>45917</v>
      </c>
      <c r="C709" t="s">
        <v>516</v>
      </c>
      <c r="D709" t="s">
        <v>9</v>
      </c>
      <c r="E709">
        <v>42</v>
      </c>
      <c r="F709" s="2" t="s">
        <v>10</v>
      </c>
      <c r="G709" s="2">
        <v>3</v>
      </c>
      <c r="H709" s="5">
        <v>300</v>
      </c>
      <c r="I709" s="5">
        <f t="shared" si="22"/>
        <v>900</v>
      </c>
      <c r="J709" s="2" t="str">
        <f>TEXT([1]retail_sales_cleaned_dataset!B709,"mmmm")</f>
        <v>September</v>
      </c>
      <c r="K709" s="2">
        <f>MONTH([1]retail_sales_cleaned_dataset!B709)</f>
        <v>9</v>
      </c>
      <c r="L709" s="2">
        <f>YEAR([1]retail_sales_cleaned_dataset!B709)</f>
        <v>2025</v>
      </c>
      <c r="M709" s="2" t="str">
        <f t="shared" si="23"/>
        <v>36-45</v>
      </c>
    </row>
    <row r="710" spans="1:13" x14ac:dyDescent="0.25">
      <c r="A710" s="2">
        <v>709</v>
      </c>
      <c r="B710" s="1">
        <v>45918</v>
      </c>
      <c r="C710" t="s">
        <v>125</v>
      </c>
      <c r="D710" t="s">
        <v>12</v>
      </c>
      <c r="E710">
        <v>35</v>
      </c>
      <c r="F710" s="2" t="s">
        <v>15</v>
      </c>
      <c r="G710" s="2">
        <v>2</v>
      </c>
      <c r="H710" s="5">
        <v>500</v>
      </c>
      <c r="I710" s="5">
        <f t="shared" si="22"/>
        <v>1000</v>
      </c>
      <c r="J710" s="2" t="str">
        <f>TEXT([1]retail_sales_cleaned_dataset!B710,"mmmm")</f>
        <v>September</v>
      </c>
      <c r="K710" s="2">
        <f>MONTH([1]retail_sales_cleaned_dataset!B710)</f>
        <v>9</v>
      </c>
      <c r="L710" s="2">
        <f>YEAR([1]retail_sales_cleaned_dataset!B710)</f>
        <v>2025</v>
      </c>
      <c r="M710" s="2" t="str">
        <f t="shared" si="23"/>
        <v>26-35</v>
      </c>
    </row>
    <row r="711" spans="1:13" x14ac:dyDescent="0.25">
      <c r="A711" s="2">
        <v>710</v>
      </c>
      <c r="B711" s="1">
        <v>45918</v>
      </c>
      <c r="C711" t="s">
        <v>517</v>
      </c>
      <c r="D711" t="s">
        <v>9</v>
      </c>
      <c r="E711">
        <v>57</v>
      </c>
      <c r="F711" s="2" t="s">
        <v>15</v>
      </c>
      <c r="G711" s="2">
        <v>3</v>
      </c>
      <c r="H711" s="5">
        <v>500</v>
      </c>
      <c r="I711" s="5">
        <f t="shared" si="22"/>
        <v>1500</v>
      </c>
      <c r="J711" s="2" t="str">
        <f>TEXT([1]retail_sales_cleaned_dataset!B711,"mmmm")</f>
        <v>September</v>
      </c>
      <c r="K711" s="2">
        <f>MONTH([1]retail_sales_cleaned_dataset!B711)</f>
        <v>9</v>
      </c>
      <c r="L711" s="2">
        <f>YEAR([1]retail_sales_cleaned_dataset!B711)</f>
        <v>2025</v>
      </c>
      <c r="M711" s="2" t="str">
        <f t="shared" si="23"/>
        <v>46+</v>
      </c>
    </row>
    <row r="712" spans="1:13" x14ac:dyDescent="0.25">
      <c r="A712" s="2">
        <v>711</v>
      </c>
      <c r="B712" s="1">
        <v>45918</v>
      </c>
      <c r="C712" t="s">
        <v>223</v>
      </c>
      <c r="D712" t="s">
        <v>9</v>
      </c>
      <c r="E712">
        <v>31</v>
      </c>
      <c r="F712" s="2" t="s">
        <v>15</v>
      </c>
      <c r="G712" s="2">
        <v>3</v>
      </c>
      <c r="H712" s="5">
        <v>500</v>
      </c>
      <c r="I712" s="5">
        <f t="shared" si="22"/>
        <v>1500</v>
      </c>
      <c r="J712" s="2" t="str">
        <f>TEXT([1]retail_sales_cleaned_dataset!B712,"mmmm")</f>
        <v>September</v>
      </c>
      <c r="K712" s="2">
        <f>MONTH([1]retail_sales_cleaned_dataset!B712)</f>
        <v>9</v>
      </c>
      <c r="L712" s="2">
        <f>YEAR([1]retail_sales_cleaned_dataset!B712)</f>
        <v>2025</v>
      </c>
      <c r="M712" s="2" t="str">
        <f t="shared" si="23"/>
        <v>26-35</v>
      </c>
    </row>
    <row r="713" spans="1:13" x14ac:dyDescent="0.25">
      <c r="A713" s="2">
        <v>712</v>
      </c>
      <c r="B713" s="1">
        <v>45919</v>
      </c>
      <c r="C713" t="s">
        <v>518</v>
      </c>
      <c r="D713" t="s">
        <v>12</v>
      </c>
      <c r="E713">
        <v>55</v>
      </c>
      <c r="F713" s="2" t="s">
        <v>10</v>
      </c>
      <c r="G713" s="2">
        <v>2</v>
      </c>
      <c r="H713" s="5">
        <v>25</v>
      </c>
      <c r="I713" s="5">
        <f t="shared" si="22"/>
        <v>50</v>
      </c>
      <c r="J713" s="2" t="str">
        <f>TEXT([1]retail_sales_cleaned_dataset!B713,"mmmm")</f>
        <v>September</v>
      </c>
      <c r="K713" s="2">
        <f>MONTH([1]retail_sales_cleaned_dataset!B713)</f>
        <v>9</v>
      </c>
      <c r="L713" s="2">
        <f>YEAR([1]retail_sales_cleaned_dataset!B713)</f>
        <v>2025</v>
      </c>
      <c r="M713" s="2" t="str">
        <f t="shared" si="23"/>
        <v>46+</v>
      </c>
    </row>
    <row r="714" spans="1:13" x14ac:dyDescent="0.25">
      <c r="A714" s="2">
        <v>713</v>
      </c>
      <c r="B714" s="1">
        <v>45919</v>
      </c>
      <c r="C714" t="s">
        <v>519</v>
      </c>
      <c r="D714" t="s">
        <v>9</v>
      </c>
      <c r="E714">
        <v>50</v>
      </c>
      <c r="F714" s="2" t="s">
        <v>10</v>
      </c>
      <c r="G714" s="2">
        <v>3</v>
      </c>
      <c r="H714" s="5">
        <v>25</v>
      </c>
      <c r="I714" s="5">
        <f t="shared" si="22"/>
        <v>75</v>
      </c>
      <c r="J714" s="2" t="str">
        <f>TEXT([1]retail_sales_cleaned_dataset!B714,"mmmm")</f>
        <v>September</v>
      </c>
      <c r="K714" s="2">
        <f>MONTH([1]retail_sales_cleaned_dataset!B714)</f>
        <v>9</v>
      </c>
      <c r="L714" s="2">
        <f>YEAR([1]retail_sales_cleaned_dataset!B714)</f>
        <v>2025</v>
      </c>
      <c r="M714" s="2" t="str">
        <f t="shared" si="23"/>
        <v>46+</v>
      </c>
    </row>
    <row r="715" spans="1:13" x14ac:dyDescent="0.25">
      <c r="A715" s="2">
        <v>714</v>
      </c>
      <c r="B715" s="1">
        <v>45921</v>
      </c>
      <c r="C715" t="s">
        <v>520</v>
      </c>
      <c r="D715" t="s">
        <v>12</v>
      </c>
      <c r="E715">
        <v>40</v>
      </c>
      <c r="F715" s="2" t="s">
        <v>13</v>
      </c>
      <c r="G715" s="2">
        <v>1</v>
      </c>
      <c r="H715" s="5">
        <v>500</v>
      </c>
      <c r="I715" s="5">
        <f t="shared" si="22"/>
        <v>500</v>
      </c>
      <c r="J715" s="2" t="str">
        <f>TEXT([1]retail_sales_cleaned_dataset!B715,"mmmm")</f>
        <v>September</v>
      </c>
      <c r="K715" s="2">
        <f>MONTH([1]retail_sales_cleaned_dataset!B715)</f>
        <v>9</v>
      </c>
      <c r="L715" s="2">
        <f>YEAR([1]retail_sales_cleaned_dataset!B715)</f>
        <v>2025</v>
      </c>
      <c r="M715" s="2" t="str">
        <f t="shared" si="23"/>
        <v>36-45</v>
      </c>
    </row>
    <row r="716" spans="1:13" x14ac:dyDescent="0.25">
      <c r="A716" s="2">
        <v>715</v>
      </c>
      <c r="B716" s="1">
        <v>45921</v>
      </c>
      <c r="C716" t="s">
        <v>521</v>
      </c>
      <c r="D716" t="s">
        <v>12</v>
      </c>
      <c r="E716">
        <v>34</v>
      </c>
      <c r="F716" s="2" t="s">
        <v>10</v>
      </c>
      <c r="G716" s="2">
        <v>4</v>
      </c>
      <c r="H716" s="5">
        <v>25</v>
      </c>
      <c r="I716" s="5">
        <f t="shared" si="22"/>
        <v>100</v>
      </c>
      <c r="J716" s="2" t="str">
        <f>TEXT([1]retail_sales_cleaned_dataset!B716,"mmmm")</f>
        <v>September</v>
      </c>
      <c r="K716" s="2">
        <f>MONTH([1]retail_sales_cleaned_dataset!B716)</f>
        <v>9</v>
      </c>
      <c r="L716" s="2">
        <f>YEAR([1]retail_sales_cleaned_dataset!B716)</f>
        <v>2025</v>
      </c>
      <c r="M716" s="2" t="str">
        <f t="shared" si="23"/>
        <v>26-35</v>
      </c>
    </row>
    <row r="717" spans="1:13" x14ac:dyDescent="0.25">
      <c r="A717" s="2">
        <v>716</v>
      </c>
      <c r="B717" s="1">
        <v>45922</v>
      </c>
      <c r="C717" t="s">
        <v>522</v>
      </c>
      <c r="D717" t="s">
        <v>12</v>
      </c>
      <c r="E717">
        <v>57</v>
      </c>
      <c r="F717" s="2" t="s">
        <v>13</v>
      </c>
      <c r="G717" s="2">
        <v>4</v>
      </c>
      <c r="H717" s="5">
        <v>300</v>
      </c>
      <c r="I717" s="5">
        <f t="shared" si="22"/>
        <v>1200</v>
      </c>
      <c r="J717" s="2" t="str">
        <f>TEXT([1]retail_sales_cleaned_dataset!B717,"mmmm")</f>
        <v>September</v>
      </c>
      <c r="K717" s="2">
        <f>MONTH([1]retail_sales_cleaned_dataset!B717)</f>
        <v>9</v>
      </c>
      <c r="L717" s="2">
        <f>YEAR([1]retail_sales_cleaned_dataset!B717)</f>
        <v>2025</v>
      </c>
      <c r="M717" s="2" t="str">
        <f t="shared" si="23"/>
        <v>46+</v>
      </c>
    </row>
    <row r="718" spans="1:13" x14ac:dyDescent="0.25">
      <c r="A718" s="2">
        <v>717</v>
      </c>
      <c r="B718" s="1">
        <v>45922</v>
      </c>
      <c r="C718" t="s">
        <v>523</v>
      </c>
      <c r="D718" t="s">
        <v>9</v>
      </c>
      <c r="E718">
        <v>23</v>
      </c>
      <c r="F718" s="2" t="s">
        <v>13</v>
      </c>
      <c r="G718" s="2">
        <v>1</v>
      </c>
      <c r="H718" s="5">
        <v>500</v>
      </c>
      <c r="I718" s="5">
        <f t="shared" si="22"/>
        <v>500</v>
      </c>
      <c r="J718" s="2" t="str">
        <f>TEXT([1]retail_sales_cleaned_dataset!B718,"mmmm")</f>
        <v>September</v>
      </c>
      <c r="K718" s="2">
        <f>MONTH([1]retail_sales_cleaned_dataset!B718)</f>
        <v>9</v>
      </c>
      <c r="L718" s="2">
        <f>YEAR([1]retail_sales_cleaned_dataset!B718)</f>
        <v>2025</v>
      </c>
      <c r="M718" s="2" t="str">
        <f t="shared" si="23"/>
        <v>18-25</v>
      </c>
    </row>
    <row r="719" spans="1:13" x14ac:dyDescent="0.25">
      <c r="A719" s="2">
        <v>718</v>
      </c>
      <c r="B719" s="1">
        <v>45923</v>
      </c>
      <c r="C719" t="s">
        <v>85</v>
      </c>
      <c r="D719" t="s">
        <v>9</v>
      </c>
      <c r="E719">
        <v>23</v>
      </c>
      <c r="F719" s="2" t="s">
        <v>10</v>
      </c>
      <c r="G719" s="2">
        <v>3</v>
      </c>
      <c r="H719" s="5">
        <v>25</v>
      </c>
      <c r="I719" s="5">
        <f t="shared" si="22"/>
        <v>75</v>
      </c>
      <c r="J719" s="2" t="str">
        <f>TEXT([1]retail_sales_cleaned_dataset!B719,"mmmm")</f>
        <v>September</v>
      </c>
      <c r="K719" s="2">
        <f>MONTH([1]retail_sales_cleaned_dataset!B719)</f>
        <v>9</v>
      </c>
      <c r="L719" s="2">
        <f>YEAR([1]retail_sales_cleaned_dataset!B719)</f>
        <v>2025</v>
      </c>
      <c r="M719" s="2" t="str">
        <f t="shared" si="23"/>
        <v>18-25</v>
      </c>
    </row>
    <row r="720" spans="1:13" x14ac:dyDescent="0.25">
      <c r="A720" s="2">
        <v>719</v>
      </c>
      <c r="B720" s="1">
        <v>45924</v>
      </c>
      <c r="C720" t="s">
        <v>524</v>
      </c>
      <c r="D720" t="s">
        <v>9</v>
      </c>
      <c r="E720">
        <v>56</v>
      </c>
      <c r="F720" s="2" t="s">
        <v>13</v>
      </c>
      <c r="G720" s="2">
        <v>2</v>
      </c>
      <c r="H720" s="5">
        <v>30</v>
      </c>
      <c r="I720" s="5">
        <f t="shared" si="22"/>
        <v>60</v>
      </c>
      <c r="J720" s="2" t="str">
        <f>TEXT([1]retail_sales_cleaned_dataset!B720,"mmmm")</f>
        <v>September</v>
      </c>
      <c r="K720" s="2">
        <f>MONTH([1]retail_sales_cleaned_dataset!B720)</f>
        <v>9</v>
      </c>
      <c r="L720" s="2">
        <f>YEAR([1]retail_sales_cleaned_dataset!B720)</f>
        <v>2025</v>
      </c>
      <c r="M720" s="2" t="str">
        <f t="shared" si="23"/>
        <v>46+</v>
      </c>
    </row>
    <row r="721" spans="1:13" x14ac:dyDescent="0.25">
      <c r="A721" s="2">
        <v>720</v>
      </c>
      <c r="B721" s="1">
        <v>45924</v>
      </c>
      <c r="C721" t="s">
        <v>149</v>
      </c>
      <c r="D721" t="s">
        <v>9</v>
      </c>
      <c r="E721">
        <v>50</v>
      </c>
      <c r="F721" s="2" t="s">
        <v>10</v>
      </c>
      <c r="G721" s="2">
        <v>3</v>
      </c>
      <c r="H721" s="5">
        <v>500</v>
      </c>
      <c r="I721" s="5">
        <f t="shared" si="22"/>
        <v>1500</v>
      </c>
      <c r="J721" s="2" t="str">
        <f>TEXT([1]retail_sales_cleaned_dataset!B721,"mmmm")</f>
        <v>September</v>
      </c>
      <c r="K721" s="2">
        <f>MONTH([1]retail_sales_cleaned_dataset!B721)</f>
        <v>9</v>
      </c>
      <c r="L721" s="2">
        <f>YEAR([1]retail_sales_cleaned_dataset!B721)</f>
        <v>2025</v>
      </c>
      <c r="M721" s="2" t="str">
        <f t="shared" si="23"/>
        <v>46+</v>
      </c>
    </row>
    <row r="722" spans="1:13" x14ac:dyDescent="0.25">
      <c r="A722" s="2">
        <v>721</v>
      </c>
      <c r="B722" s="1">
        <v>45925</v>
      </c>
      <c r="C722" t="s">
        <v>525</v>
      </c>
      <c r="D722" t="s">
        <v>12</v>
      </c>
      <c r="E722">
        <v>54</v>
      </c>
      <c r="F722" s="2" t="s">
        <v>13</v>
      </c>
      <c r="G722" s="2">
        <v>1</v>
      </c>
      <c r="H722" s="5">
        <v>500</v>
      </c>
      <c r="I722" s="5">
        <f t="shared" si="22"/>
        <v>500</v>
      </c>
      <c r="J722" s="2" t="str">
        <f>TEXT([1]retail_sales_cleaned_dataset!B722,"mmmm")</f>
        <v>September</v>
      </c>
      <c r="K722" s="2">
        <f>MONTH([1]retail_sales_cleaned_dataset!B722)</f>
        <v>9</v>
      </c>
      <c r="L722" s="2">
        <f>YEAR([1]retail_sales_cleaned_dataset!B722)</f>
        <v>2025</v>
      </c>
      <c r="M722" s="2" t="str">
        <f t="shared" si="23"/>
        <v>46+</v>
      </c>
    </row>
    <row r="723" spans="1:13" x14ac:dyDescent="0.25">
      <c r="A723" s="2">
        <v>722</v>
      </c>
      <c r="B723" s="1">
        <v>45925</v>
      </c>
      <c r="C723" t="s">
        <v>269</v>
      </c>
      <c r="D723" t="s">
        <v>9</v>
      </c>
      <c r="E723">
        <v>50</v>
      </c>
      <c r="F723" s="2" t="s">
        <v>10</v>
      </c>
      <c r="G723" s="2">
        <v>3</v>
      </c>
      <c r="H723" s="5">
        <v>300</v>
      </c>
      <c r="I723" s="5">
        <f t="shared" si="22"/>
        <v>900</v>
      </c>
      <c r="J723" s="2" t="str">
        <f>TEXT([1]retail_sales_cleaned_dataset!B723,"mmmm")</f>
        <v>September</v>
      </c>
      <c r="K723" s="2">
        <f>MONTH([1]retail_sales_cleaned_dataset!B723)</f>
        <v>9</v>
      </c>
      <c r="L723" s="2">
        <f>YEAR([1]retail_sales_cleaned_dataset!B723)</f>
        <v>2025</v>
      </c>
      <c r="M723" s="2" t="str">
        <f t="shared" si="23"/>
        <v>46+</v>
      </c>
    </row>
    <row r="724" spans="1:13" x14ac:dyDescent="0.25">
      <c r="A724" s="2">
        <v>723</v>
      </c>
      <c r="B724" s="1">
        <v>45925</v>
      </c>
      <c r="C724" t="s">
        <v>526</v>
      </c>
      <c r="D724" t="s">
        <v>9</v>
      </c>
      <c r="E724">
        <v>39</v>
      </c>
      <c r="F724" s="2" t="s">
        <v>10</v>
      </c>
      <c r="G724" s="2">
        <v>4</v>
      </c>
      <c r="H724" s="5">
        <v>50</v>
      </c>
      <c r="I724" s="5">
        <f t="shared" si="22"/>
        <v>200</v>
      </c>
      <c r="J724" s="2" t="str">
        <f>TEXT([1]retail_sales_cleaned_dataset!B724,"mmmm")</f>
        <v>September</v>
      </c>
      <c r="K724" s="2">
        <f>MONTH([1]retail_sales_cleaned_dataset!B724)</f>
        <v>9</v>
      </c>
      <c r="L724" s="2">
        <f>YEAR([1]retail_sales_cleaned_dataset!B724)</f>
        <v>2025</v>
      </c>
      <c r="M724" s="2" t="str">
        <f t="shared" si="23"/>
        <v>36-45</v>
      </c>
    </row>
    <row r="725" spans="1:13" x14ac:dyDescent="0.25">
      <c r="A725" s="2">
        <v>724</v>
      </c>
      <c r="B725" s="1">
        <v>45926</v>
      </c>
      <c r="C725" t="s">
        <v>342</v>
      </c>
      <c r="D725" t="s">
        <v>9</v>
      </c>
      <c r="E725">
        <v>50</v>
      </c>
      <c r="F725" s="2" t="s">
        <v>13</v>
      </c>
      <c r="G725" s="2">
        <v>3</v>
      </c>
      <c r="H725" s="5">
        <v>50</v>
      </c>
      <c r="I725" s="5">
        <f t="shared" si="22"/>
        <v>150</v>
      </c>
      <c r="J725" s="2" t="str">
        <f>TEXT([1]retail_sales_cleaned_dataset!B725,"mmmm")</f>
        <v>September</v>
      </c>
      <c r="K725" s="2">
        <f>MONTH([1]retail_sales_cleaned_dataset!B725)</f>
        <v>9</v>
      </c>
      <c r="L725" s="2">
        <f>YEAR([1]retail_sales_cleaned_dataset!B725)</f>
        <v>2025</v>
      </c>
      <c r="M725" s="2" t="str">
        <f t="shared" si="23"/>
        <v>46+</v>
      </c>
    </row>
    <row r="726" spans="1:13" x14ac:dyDescent="0.25">
      <c r="A726" s="2">
        <v>725</v>
      </c>
      <c r="B726" s="1">
        <v>45928</v>
      </c>
      <c r="C726" t="s">
        <v>527</v>
      </c>
      <c r="D726" t="s">
        <v>9</v>
      </c>
      <c r="E726">
        <v>46</v>
      </c>
      <c r="F726" s="2" t="s">
        <v>15</v>
      </c>
      <c r="G726" s="2">
        <v>1</v>
      </c>
      <c r="H726" s="5">
        <v>300</v>
      </c>
      <c r="I726" s="5">
        <f t="shared" si="22"/>
        <v>300</v>
      </c>
      <c r="J726" s="2" t="str">
        <f>TEXT([1]retail_sales_cleaned_dataset!B726,"mmmm")</f>
        <v>September</v>
      </c>
      <c r="K726" s="2">
        <f>MONTH([1]retail_sales_cleaned_dataset!B726)</f>
        <v>9</v>
      </c>
      <c r="L726" s="2">
        <f>YEAR([1]retail_sales_cleaned_dataset!B726)</f>
        <v>2025</v>
      </c>
      <c r="M726" s="2" t="str">
        <f t="shared" si="23"/>
        <v>46+</v>
      </c>
    </row>
    <row r="727" spans="1:13" x14ac:dyDescent="0.25">
      <c r="A727" s="2">
        <v>726</v>
      </c>
      <c r="B727" s="1">
        <v>45928</v>
      </c>
      <c r="C727" t="s">
        <v>88</v>
      </c>
      <c r="D727" t="s">
        <v>12</v>
      </c>
      <c r="E727">
        <v>46</v>
      </c>
      <c r="F727" s="2" t="s">
        <v>13</v>
      </c>
      <c r="G727" s="2">
        <v>4</v>
      </c>
      <c r="H727" s="5">
        <v>300</v>
      </c>
      <c r="I727" s="5">
        <f t="shared" si="22"/>
        <v>1200</v>
      </c>
      <c r="J727" s="2" t="str">
        <f>TEXT([1]retail_sales_cleaned_dataset!B727,"mmmm")</f>
        <v>September</v>
      </c>
      <c r="K727" s="2">
        <f>MONTH([1]retail_sales_cleaned_dataset!B727)</f>
        <v>9</v>
      </c>
      <c r="L727" s="2">
        <f>YEAR([1]retail_sales_cleaned_dataset!B727)</f>
        <v>2025</v>
      </c>
      <c r="M727" s="2" t="str">
        <f t="shared" si="23"/>
        <v>46+</v>
      </c>
    </row>
    <row r="728" spans="1:13" x14ac:dyDescent="0.25">
      <c r="A728" s="2">
        <v>727</v>
      </c>
      <c r="B728" s="1">
        <v>45928</v>
      </c>
      <c r="C728" t="s">
        <v>528</v>
      </c>
      <c r="D728" t="s">
        <v>12</v>
      </c>
      <c r="E728">
        <v>21</v>
      </c>
      <c r="F728" s="2" t="s">
        <v>10</v>
      </c>
      <c r="G728" s="2">
        <v>3</v>
      </c>
      <c r="H728" s="5">
        <v>300</v>
      </c>
      <c r="I728" s="5">
        <f t="shared" si="22"/>
        <v>900</v>
      </c>
      <c r="J728" s="2" t="str">
        <f>TEXT([1]retail_sales_cleaned_dataset!B728,"mmmm")</f>
        <v>September</v>
      </c>
      <c r="K728" s="2">
        <f>MONTH([1]retail_sales_cleaned_dataset!B728)</f>
        <v>9</v>
      </c>
      <c r="L728" s="2">
        <f>YEAR([1]retail_sales_cleaned_dataset!B728)</f>
        <v>2025</v>
      </c>
      <c r="M728" s="2" t="str">
        <f t="shared" si="23"/>
        <v>18-25</v>
      </c>
    </row>
    <row r="729" spans="1:13" x14ac:dyDescent="0.25">
      <c r="A729" s="2">
        <v>728</v>
      </c>
      <c r="B729" s="1">
        <v>45929</v>
      </c>
      <c r="C729" t="s">
        <v>151</v>
      </c>
      <c r="D729" t="s">
        <v>9</v>
      </c>
      <c r="E729">
        <v>62</v>
      </c>
      <c r="F729" s="2" t="s">
        <v>15</v>
      </c>
      <c r="G729" s="2">
        <v>3</v>
      </c>
      <c r="H729" s="5">
        <v>50</v>
      </c>
      <c r="I729" s="5">
        <f t="shared" si="22"/>
        <v>150</v>
      </c>
      <c r="J729" s="2" t="str">
        <f>TEXT([1]retail_sales_cleaned_dataset!B729,"mmmm")</f>
        <v>September</v>
      </c>
      <c r="K729" s="2">
        <f>MONTH([1]retail_sales_cleaned_dataset!B729)</f>
        <v>9</v>
      </c>
      <c r="L729" s="2">
        <f>YEAR([1]retail_sales_cleaned_dataset!B729)</f>
        <v>2025</v>
      </c>
      <c r="M729" s="2" t="str">
        <f t="shared" si="23"/>
        <v>46+</v>
      </c>
    </row>
    <row r="730" spans="1:13" x14ac:dyDescent="0.25">
      <c r="A730" s="2">
        <v>729</v>
      </c>
      <c r="B730" s="1">
        <v>45929</v>
      </c>
      <c r="C730" t="s">
        <v>529</v>
      </c>
      <c r="D730" t="s">
        <v>12</v>
      </c>
      <c r="E730">
        <v>19</v>
      </c>
      <c r="F730" s="2" t="s">
        <v>13</v>
      </c>
      <c r="G730" s="2">
        <v>4</v>
      </c>
      <c r="H730" s="5">
        <v>300</v>
      </c>
      <c r="I730" s="5">
        <f t="shared" si="22"/>
        <v>1200</v>
      </c>
      <c r="J730" s="2" t="str">
        <f>TEXT([1]retail_sales_cleaned_dataset!B730,"mmmm")</f>
        <v>September</v>
      </c>
      <c r="K730" s="2">
        <f>MONTH([1]retail_sales_cleaned_dataset!B730)</f>
        <v>9</v>
      </c>
      <c r="L730" s="2">
        <f>YEAR([1]retail_sales_cleaned_dataset!B730)</f>
        <v>2025</v>
      </c>
      <c r="M730" s="2" t="str">
        <f t="shared" si="23"/>
        <v>18-25</v>
      </c>
    </row>
    <row r="731" spans="1:13" x14ac:dyDescent="0.25">
      <c r="A731" s="2">
        <v>730</v>
      </c>
      <c r="B731" s="1">
        <v>45929</v>
      </c>
      <c r="C731" t="s">
        <v>270</v>
      </c>
      <c r="D731" t="s">
        <v>9</v>
      </c>
      <c r="E731">
        <v>53</v>
      </c>
      <c r="F731" s="2" t="s">
        <v>13</v>
      </c>
      <c r="G731" s="2">
        <v>2</v>
      </c>
      <c r="H731" s="5">
        <v>25</v>
      </c>
      <c r="I731" s="5">
        <f t="shared" si="22"/>
        <v>50</v>
      </c>
      <c r="J731" s="2" t="str">
        <f>TEXT([1]retail_sales_cleaned_dataset!B731,"mmmm")</f>
        <v>September</v>
      </c>
      <c r="K731" s="2">
        <f>MONTH([1]retail_sales_cleaned_dataset!B731)</f>
        <v>9</v>
      </c>
      <c r="L731" s="2">
        <f>YEAR([1]retail_sales_cleaned_dataset!B731)</f>
        <v>2025</v>
      </c>
      <c r="M731" s="2" t="str">
        <f t="shared" si="23"/>
        <v>46+</v>
      </c>
    </row>
    <row r="732" spans="1:13" x14ac:dyDescent="0.25">
      <c r="A732" s="2">
        <v>731</v>
      </c>
      <c r="B732" s="1">
        <v>45929</v>
      </c>
      <c r="C732" t="s">
        <v>530</v>
      </c>
      <c r="D732" t="s">
        <v>9</v>
      </c>
      <c r="E732">
        <v>19</v>
      </c>
      <c r="F732" s="2" t="s">
        <v>13</v>
      </c>
      <c r="G732" s="2">
        <v>4</v>
      </c>
      <c r="H732" s="5">
        <v>500</v>
      </c>
      <c r="I732" s="5">
        <f t="shared" si="22"/>
        <v>2000</v>
      </c>
      <c r="J732" s="2" t="str">
        <f>TEXT([1]retail_sales_cleaned_dataset!B732,"mmmm")</f>
        <v>September</v>
      </c>
      <c r="K732" s="2">
        <f>MONTH([1]retail_sales_cleaned_dataset!B732)</f>
        <v>9</v>
      </c>
      <c r="L732" s="2">
        <f>YEAR([1]retail_sales_cleaned_dataset!B732)</f>
        <v>2025</v>
      </c>
      <c r="M732" s="2" t="str">
        <f t="shared" si="23"/>
        <v>18-25</v>
      </c>
    </row>
    <row r="733" spans="1:13" x14ac:dyDescent="0.25">
      <c r="A733" s="2">
        <v>732</v>
      </c>
      <c r="B733" s="1">
        <v>45930</v>
      </c>
      <c r="C733" t="s">
        <v>343</v>
      </c>
      <c r="D733" t="s">
        <v>9</v>
      </c>
      <c r="E733">
        <v>45</v>
      </c>
      <c r="F733" s="2" t="s">
        <v>15</v>
      </c>
      <c r="G733" s="2">
        <v>2</v>
      </c>
      <c r="H733" s="5">
        <v>500</v>
      </c>
      <c r="I733" s="5">
        <f t="shared" si="22"/>
        <v>1000</v>
      </c>
      <c r="J733" s="2" t="str">
        <f>TEXT([1]retail_sales_cleaned_dataset!B733,"mmmm")</f>
        <v>September</v>
      </c>
      <c r="K733" s="2">
        <f>MONTH([1]retail_sales_cleaned_dataset!B733)</f>
        <v>9</v>
      </c>
      <c r="L733" s="2">
        <f>YEAR([1]retail_sales_cleaned_dataset!B733)</f>
        <v>2025</v>
      </c>
      <c r="M733" s="2" t="str">
        <f t="shared" si="23"/>
        <v>36-45</v>
      </c>
    </row>
    <row r="734" spans="1:13" x14ac:dyDescent="0.25">
      <c r="A734" s="2">
        <v>733</v>
      </c>
      <c r="B734" s="1">
        <v>45930</v>
      </c>
      <c r="C734" t="s">
        <v>531</v>
      </c>
      <c r="D734" t="s">
        <v>9</v>
      </c>
      <c r="E734">
        <v>47</v>
      </c>
      <c r="F734" s="2" t="s">
        <v>10</v>
      </c>
      <c r="G734" s="2">
        <v>1</v>
      </c>
      <c r="H734" s="5">
        <v>30</v>
      </c>
      <c r="I734" s="5">
        <f t="shared" si="22"/>
        <v>30</v>
      </c>
      <c r="J734" s="2" t="str">
        <f>TEXT([1]retail_sales_cleaned_dataset!B734,"mmmm")</f>
        <v>September</v>
      </c>
      <c r="K734" s="2">
        <f>MONTH([1]retail_sales_cleaned_dataset!B734)</f>
        <v>9</v>
      </c>
      <c r="L734" s="2">
        <f>YEAR([1]retail_sales_cleaned_dataset!B734)</f>
        <v>2025</v>
      </c>
      <c r="M734" s="2" t="str">
        <f t="shared" si="23"/>
        <v>46+</v>
      </c>
    </row>
    <row r="735" spans="1:13" x14ac:dyDescent="0.25">
      <c r="A735" s="2">
        <v>734</v>
      </c>
      <c r="B735" s="1">
        <v>45931</v>
      </c>
      <c r="C735" t="s">
        <v>304</v>
      </c>
      <c r="D735" t="s">
        <v>12</v>
      </c>
      <c r="E735">
        <v>55</v>
      </c>
      <c r="F735" s="2" t="s">
        <v>13</v>
      </c>
      <c r="G735" s="2">
        <v>1</v>
      </c>
      <c r="H735" s="5">
        <v>30</v>
      </c>
      <c r="I735" s="5">
        <f t="shared" si="22"/>
        <v>30</v>
      </c>
      <c r="J735" s="2" t="str">
        <f>TEXT([1]retail_sales_cleaned_dataset!B735,"mmmm")</f>
        <v>October</v>
      </c>
      <c r="K735" s="2">
        <f>MONTH([1]retail_sales_cleaned_dataset!B735)</f>
        <v>10</v>
      </c>
      <c r="L735" s="2">
        <f>YEAR([1]retail_sales_cleaned_dataset!B735)</f>
        <v>2025</v>
      </c>
      <c r="M735" s="2" t="str">
        <f t="shared" si="23"/>
        <v>46+</v>
      </c>
    </row>
    <row r="736" spans="1:13" x14ac:dyDescent="0.25">
      <c r="A736" s="2">
        <v>735</v>
      </c>
      <c r="B736" s="1">
        <v>45931</v>
      </c>
      <c r="C736" t="s">
        <v>532</v>
      </c>
      <c r="D736" t="s">
        <v>12</v>
      </c>
      <c r="E736">
        <v>21</v>
      </c>
      <c r="F736" s="2" t="s">
        <v>13</v>
      </c>
      <c r="G736" s="2">
        <v>4</v>
      </c>
      <c r="H736" s="5">
        <v>500</v>
      </c>
      <c r="I736" s="5">
        <f t="shared" si="22"/>
        <v>2000</v>
      </c>
      <c r="J736" s="2" t="str">
        <f>TEXT([1]retail_sales_cleaned_dataset!B736,"mmmm")</f>
        <v>October</v>
      </c>
      <c r="K736" s="2">
        <f>MONTH([1]retail_sales_cleaned_dataset!B736)</f>
        <v>10</v>
      </c>
      <c r="L736" s="2">
        <f>YEAR([1]retail_sales_cleaned_dataset!B736)</f>
        <v>2025</v>
      </c>
      <c r="M736" s="2" t="str">
        <f t="shared" si="23"/>
        <v>18-25</v>
      </c>
    </row>
    <row r="737" spans="1:13" x14ac:dyDescent="0.25">
      <c r="A737" s="2">
        <v>736</v>
      </c>
      <c r="B737" s="1">
        <v>45931</v>
      </c>
      <c r="C737" t="s">
        <v>197</v>
      </c>
      <c r="D737" t="s">
        <v>9</v>
      </c>
      <c r="E737">
        <v>18</v>
      </c>
      <c r="F737" s="2" t="s">
        <v>13</v>
      </c>
      <c r="G737" s="2">
        <v>4</v>
      </c>
      <c r="H737" s="5">
        <v>25</v>
      </c>
      <c r="I737" s="5">
        <f t="shared" si="22"/>
        <v>100</v>
      </c>
      <c r="J737" s="2" t="str">
        <f>TEXT([1]retail_sales_cleaned_dataset!B737,"mmmm")</f>
        <v>October</v>
      </c>
      <c r="K737" s="2">
        <f>MONTH([1]retail_sales_cleaned_dataset!B737)</f>
        <v>10</v>
      </c>
      <c r="L737" s="2">
        <f>YEAR([1]retail_sales_cleaned_dataset!B737)</f>
        <v>2025</v>
      </c>
      <c r="M737" s="2" t="str">
        <f t="shared" si="23"/>
        <v>18-25</v>
      </c>
    </row>
    <row r="738" spans="1:13" x14ac:dyDescent="0.25">
      <c r="A738" s="2">
        <v>737</v>
      </c>
      <c r="B738" s="1">
        <v>45932</v>
      </c>
      <c r="C738" t="s">
        <v>533</v>
      </c>
      <c r="D738" t="s">
        <v>9</v>
      </c>
      <c r="E738">
        <v>25</v>
      </c>
      <c r="F738" s="2" t="s">
        <v>13</v>
      </c>
      <c r="G738" s="2">
        <v>1</v>
      </c>
      <c r="H738" s="5">
        <v>50</v>
      </c>
      <c r="I738" s="5">
        <f t="shared" si="22"/>
        <v>50</v>
      </c>
      <c r="J738" s="2" t="str">
        <f>TEXT([1]retail_sales_cleaned_dataset!B738,"mmmm")</f>
        <v>October</v>
      </c>
      <c r="K738" s="2">
        <f>MONTH([1]retail_sales_cleaned_dataset!B738)</f>
        <v>10</v>
      </c>
      <c r="L738" s="2">
        <f>YEAR([1]retail_sales_cleaned_dataset!B738)</f>
        <v>2025</v>
      </c>
      <c r="M738" s="2" t="str">
        <f t="shared" si="23"/>
        <v>18-25</v>
      </c>
    </row>
    <row r="739" spans="1:13" x14ac:dyDescent="0.25">
      <c r="A739" s="2">
        <v>738</v>
      </c>
      <c r="B739" s="1">
        <v>45932</v>
      </c>
      <c r="C739" t="s">
        <v>301</v>
      </c>
      <c r="D739" t="s">
        <v>12</v>
      </c>
      <c r="E739">
        <v>46</v>
      </c>
      <c r="F739" s="2" t="s">
        <v>13</v>
      </c>
      <c r="G739" s="2">
        <v>2</v>
      </c>
      <c r="H739" s="5">
        <v>50</v>
      </c>
      <c r="I739" s="5">
        <f t="shared" si="22"/>
        <v>100</v>
      </c>
      <c r="J739" s="2" t="str">
        <f>TEXT([1]retail_sales_cleaned_dataset!B739,"mmmm")</f>
        <v>October</v>
      </c>
      <c r="K739" s="2">
        <f>MONTH([1]retail_sales_cleaned_dataset!B739)</f>
        <v>10</v>
      </c>
      <c r="L739" s="2">
        <f>YEAR([1]retail_sales_cleaned_dataset!B739)</f>
        <v>2025</v>
      </c>
      <c r="M739" s="2" t="str">
        <f t="shared" si="23"/>
        <v>46+</v>
      </c>
    </row>
    <row r="740" spans="1:13" x14ac:dyDescent="0.25">
      <c r="A740" s="2">
        <v>739</v>
      </c>
      <c r="B740" s="1">
        <v>45932</v>
      </c>
      <c r="C740" t="s">
        <v>534</v>
      </c>
      <c r="D740" t="s">
        <v>9</v>
      </c>
      <c r="E740">
        <v>56</v>
      </c>
      <c r="F740" s="2" t="s">
        <v>10</v>
      </c>
      <c r="G740" s="2">
        <v>1</v>
      </c>
      <c r="H740" s="5">
        <v>25</v>
      </c>
      <c r="I740" s="5">
        <f t="shared" si="22"/>
        <v>25</v>
      </c>
      <c r="J740" s="2" t="str">
        <f>TEXT([1]retail_sales_cleaned_dataset!B740,"mmmm")</f>
        <v>October</v>
      </c>
      <c r="K740" s="2">
        <f>MONTH([1]retail_sales_cleaned_dataset!B740)</f>
        <v>10</v>
      </c>
      <c r="L740" s="2">
        <f>YEAR([1]retail_sales_cleaned_dataset!B740)</f>
        <v>2025</v>
      </c>
      <c r="M740" s="2" t="str">
        <f t="shared" si="23"/>
        <v>46+</v>
      </c>
    </row>
    <row r="741" spans="1:13" x14ac:dyDescent="0.25">
      <c r="A741" s="2">
        <v>740</v>
      </c>
      <c r="B741" s="1">
        <v>45932</v>
      </c>
      <c r="C741" t="s">
        <v>370</v>
      </c>
      <c r="D741" t="s">
        <v>12</v>
      </c>
      <c r="E741">
        <v>20</v>
      </c>
      <c r="F741" s="2" t="s">
        <v>10</v>
      </c>
      <c r="G741" s="2">
        <v>4</v>
      </c>
      <c r="H741" s="5">
        <v>50</v>
      </c>
      <c r="I741" s="5">
        <f t="shared" si="22"/>
        <v>200</v>
      </c>
      <c r="J741" s="2" t="str">
        <f>TEXT([1]retail_sales_cleaned_dataset!B741,"mmmm")</f>
        <v>October</v>
      </c>
      <c r="K741" s="2">
        <f>MONTH([1]retail_sales_cleaned_dataset!B741)</f>
        <v>10</v>
      </c>
      <c r="L741" s="2">
        <f>YEAR([1]retail_sales_cleaned_dataset!B741)</f>
        <v>2025</v>
      </c>
      <c r="M741" s="2" t="str">
        <f t="shared" si="23"/>
        <v>18-25</v>
      </c>
    </row>
    <row r="742" spans="1:13" x14ac:dyDescent="0.25">
      <c r="A742" s="2">
        <v>741</v>
      </c>
      <c r="B742" s="1">
        <v>45932</v>
      </c>
      <c r="C742" t="s">
        <v>535</v>
      </c>
      <c r="D742" t="s">
        <v>9</v>
      </c>
      <c r="E742">
        <v>49</v>
      </c>
      <c r="F742" s="2" t="s">
        <v>13</v>
      </c>
      <c r="G742" s="2">
        <v>1</v>
      </c>
      <c r="H742" s="5">
        <v>300</v>
      </c>
      <c r="I742" s="5">
        <f t="shared" si="22"/>
        <v>300</v>
      </c>
      <c r="J742" s="2" t="str">
        <f>TEXT([1]retail_sales_cleaned_dataset!B742,"mmmm")</f>
        <v>October</v>
      </c>
      <c r="K742" s="2">
        <f>MONTH([1]retail_sales_cleaned_dataset!B742)</f>
        <v>10</v>
      </c>
      <c r="L742" s="2">
        <f>YEAR([1]retail_sales_cleaned_dataset!B742)</f>
        <v>2025</v>
      </c>
      <c r="M742" s="2" t="str">
        <f t="shared" si="23"/>
        <v>46+</v>
      </c>
    </row>
    <row r="743" spans="1:13" x14ac:dyDescent="0.25">
      <c r="A743" s="2">
        <v>742</v>
      </c>
      <c r="B743" s="1">
        <v>45933</v>
      </c>
      <c r="C743" t="s">
        <v>38</v>
      </c>
      <c r="D743" t="s">
        <v>12</v>
      </c>
      <c r="E743">
        <v>27</v>
      </c>
      <c r="F743" s="2" t="s">
        <v>15</v>
      </c>
      <c r="G743" s="2">
        <v>4</v>
      </c>
      <c r="H743" s="5">
        <v>500</v>
      </c>
      <c r="I743" s="5">
        <f t="shared" si="22"/>
        <v>2000</v>
      </c>
      <c r="J743" s="2" t="str">
        <f>TEXT([1]retail_sales_cleaned_dataset!B743,"mmmm")</f>
        <v>October</v>
      </c>
      <c r="K743" s="2">
        <f>MONTH([1]retail_sales_cleaned_dataset!B743)</f>
        <v>10</v>
      </c>
      <c r="L743" s="2">
        <f>YEAR([1]retail_sales_cleaned_dataset!B743)</f>
        <v>2025</v>
      </c>
      <c r="M743" s="2" t="str">
        <f t="shared" si="23"/>
        <v>26-35</v>
      </c>
    </row>
    <row r="744" spans="1:13" x14ac:dyDescent="0.25">
      <c r="A744" s="2">
        <v>743</v>
      </c>
      <c r="B744" s="1">
        <v>45933</v>
      </c>
      <c r="C744" t="s">
        <v>536</v>
      </c>
      <c r="D744" t="s">
        <v>9</v>
      </c>
      <c r="E744">
        <v>27</v>
      </c>
      <c r="F744" s="2" t="s">
        <v>10</v>
      </c>
      <c r="G744" s="2">
        <v>4</v>
      </c>
      <c r="H744" s="5">
        <v>500</v>
      </c>
      <c r="I744" s="5">
        <f t="shared" si="22"/>
        <v>2000</v>
      </c>
      <c r="J744" s="2" t="str">
        <f>TEXT([1]retail_sales_cleaned_dataset!B744,"mmmm")</f>
        <v>October</v>
      </c>
      <c r="K744" s="2">
        <f>MONTH([1]retail_sales_cleaned_dataset!B744)</f>
        <v>10</v>
      </c>
      <c r="L744" s="2">
        <f>YEAR([1]retail_sales_cleaned_dataset!B744)</f>
        <v>2025</v>
      </c>
      <c r="M744" s="2" t="str">
        <f t="shared" si="23"/>
        <v>26-35</v>
      </c>
    </row>
    <row r="745" spans="1:13" x14ac:dyDescent="0.25">
      <c r="A745" s="2">
        <v>744</v>
      </c>
      <c r="B745" s="1">
        <v>45933</v>
      </c>
      <c r="C745" t="s">
        <v>125</v>
      </c>
      <c r="D745" t="s">
        <v>12</v>
      </c>
      <c r="E745">
        <v>36</v>
      </c>
      <c r="F745" s="2" t="s">
        <v>15</v>
      </c>
      <c r="G745" s="2">
        <v>1</v>
      </c>
      <c r="H745" s="5">
        <v>25</v>
      </c>
      <c r="I745" s="5">
        <f t="shared" si="22"/>
        <v>25</v>
      </c>
      <c r="J745" s="2" t="str">
        <f>TEXT([1]retail_sales_cleaned_dataset!B745,"mmmm")</f>
        <v>October</v>
      </c>
      <c r="K745" s="2">
        <f>MONTH([1]retail_sales_cleaned_dataset!B745)</f>
        <v>10</v>
      </c>
      <c r="L745" s="2">
        <f>YEAR([1]retail_sales_cleaned_dataset!B745)</f>
        <v>2025</v>
      </c>
      <c r="M745" s="2" t="str">
        <f t="shared" si="23"/>
        <v>36-45</v>
      </c>
    </row>
    <row r="746" spans="1:13" x14ac:dyDescent="0.25">
      <c r="A746" s="2">
        <v>745</v>
      </c>
      <c r="B746" s="1">
        <v>45933</v>
      </c>
      <c r="C746" t="s">
        <v>537</v>
      </c>
      <c r="D746" t="s">
        <v>9</v>
      </c>
      <c r="E746">
        <v>63</v>
      </c>
      <c r="F746" s="2" t="s">
        <v>10</v>
      </c>
      <c r="G746" s="2">
        <v>2</v>
      </c>
      <c r="H746" s="5">
        <v>50</v>
      </c>
      <c r="I746" s="5">
        <f t="shared" si="22"/>
        <v>100</v>
      </c>
      <c r="J746" s="2" t="str">
        <f>TEXT([1]retail_sales_cleaned_dataset!B746,"mmmm")</f>
        <v>October</v>
      </c>
      <c r="K746" s="2">
        <f>MONTH([1]retail_sales_cleaned_dataset!B746)</f>
        <v>10</v>
      </c>
      <c r="L746" s="2">
        <f>YEAR([1]retail_sales_cleaned_dataset!B746)</f>
        <v>2025</v>
      </c>
      <c r="M746" s="2" t="str">
        <f t="shared" si="23"/>
        <v>46+</v>
      </c>
    </row>
    <row r="747" spans="1:13" x14ac:dyDescent="0.25">
      <c r="A747" s="2">
        <v>746</v>
      </c>
      <c r="B747" s="1">
        <v>45933</v>
      </c>
      <c r="C747" t="s">
        <v>223</v>
      </c>
      <c r="D747" t="s">
        <v>12</v>
      </c>
      <c r="E747">
        <v>51</v>
      </c>
      <c r="F747" s="2" t="s">
        <v>13</v>
      </c>
      <c r="G747" s="2">
        <v>3</v>
      </c>
      <c r="H747" s="5">
        <v>30</v>
      </c>
      <c r="I747" s="5">
        <f t="shared" si="22"/>
        <v>90</v>
      </c>
      <c r="J747" s="2" t="str">
        <f>TEXT([1]retail_sales_cleaned_dataset!B747,"mmmm")</f>
        <v>October</v>
      </c>
      <c r="K747" s="2">
        <f>MONTH([1]retail_sales_cleaned_dataset!B747)</f>
        <v>10</v>
      </c>
      <c r="L747" s="2">
        <f>YEAR([1]retail_sales_cleaned_dataset!B747)</f>
        <v>2025</v>
      </c>
      <c r="M747" s="2" t="str">
        <f t="shared" si="23"/>
        <v>46+</v>
      </c>
    </row>
    <row r="748" spans="1:13" x14ac:dyDescent="0.25">
      <c r="A748" s="2">
        <v>747</v>
      </c>
      <c r="B748" s="1">
        <v>45934</v>
      </c>
      <c r="C748" t="s">
        <v>538</v>
      </c>
      <c r="D748" t="s">
        <v>12</v>
      </c>
      <c r="E748">
        <v>50</v>
      </c>
      <c r="F748" s="2" t="s">
        <v>10</v>
      </c>
      <c r="G748" s="2">
        <v>1</v>
      </c>
      <c r="H748" s="5">
        <v>30</v>
      </c>
      <c r="I748" s="5">
        <f t="shared" si="22"/>
        <v>30</v>
      </c>
      <c r="J748" s="2" t="str">
        <f>TEXT([1]retail_sales_cleaned_dataset!B748,"mmmm")</f>
        <v>October</v>
      </c>
      <c r="K748" s="2">
        <f>MONTH([1]retail_sales_cleaned_dataset!B748)</f>
        <v>10</v>
      </c>
      <c r="L748" s="2">
        <f>YEAR([1]retail_sales_cleaned_dataset!B748)</f>
        <v>2025</v>
      </c>
      <c r="M748" s="2" t="str">
        <f t="shared" si="23"/>
        <v>46+</v>
      </c>
    </row>
    <row r="749" spans="1:13" x14ac:dyDescent="0.25">
      <c r="A749" s="2">
        <v>748</v>
      </c>
      <c r="B749" s="1">
        <v>45934</v>
      </c>
      <c r="C749" t="s">
        <v>539</v>
      </c>
      <c r="D749" t="s">
        <v>9</v>
      </c>
      <c r="E749">
        <v>40</v>
      </c>
      <c r="F749" s="2" t="s">
        <v>13</v>
      </c>
      <c r="G749" s="2">
        <v>3</v>
      </c>
      <c r="H749" s="5">
        <v>50</v>
      </c>
      <c r="I749" s="5">
        <f t="shared" si="22"/>
        <v>150</v>
      </c>
      <c r="J749" s="2" t="str">
        <f>TEXT([1]retail_sales_cleaned_dataset!B749,"mmmm")</f>
        <v>October</v>
      </c>
      <c r="K749" s="2">
        <f>MONTH([1]retail_sales_cleaned_dataset!B749)</f>
        <v>10</v>
      </c>
      <c r="L749" s="2">
        <f>YEAR([1]retail_sales_cleaned_dataset!B749)</f>
        <v>2025</v>
      </c>
      <c r="M749" s="2" t="str">
        <f t="shared" si="23"/>
        <v>36-45</v>
      </c>
    </row>
    <row r="750" spans="1:13" x14ac:dyDescent="0.25">
      <c r="A750" s="2">
        <v>749</v>
      </c>
      <c r="B750" s="1">
        <v>45934</v>
      </c>
      <c r="C750" t="s">
        <v>540</v>
      </c>
      <c r="D750" t="s">
        <v>9</v>
      </c>
      <c r="E750">
        <v>45</v>
      </c>
      <c r="F750" s="2" t="s">
        <v>10</v>
      </c>
      <c r="G750" s="2">
        <v>1</v>
      </c>
      <c r="H750" s="5">
        <v>30</v>
      </c>
      <c r="I750" s="5">
        <f t="shared" si="22"/>
        <v>30</v>
      </c>
      <c r="J750" s="2" t="str">
        <f>TEXT([1]retail_sales_cleaned_dataset!B750,"mmmm")</f>
        <v>October</v>
      </c>
      <c r="K750" s="2">
        <f>MONTH([1]retail_sales_cleaned_dataset!B750)</f>
        <v>10</v>
      </c>
      <c r="L750" s="2">
        <f>YEAR([1]retail_sales_cleaned_dataset!B750)</f>
        <v>2025</v>
      </c>
      <c r="M750" s="2" t="str">
        <f t="shared" si="23"/>
        <v>36-45</v>
      </c>
    </row>
    <row r="751" spans="1:13" x14ac:dyDescent="0.25">
      <c r="A751" s="2">
        <v>750</v>
      </c>
      <c r="B751" s="1">
        <v>45934</v>
      </c>
      <c r="C751" t="s">
        <v>541</v>
      </c>
      <c r="D751" t="s">
        <v>12</v>
      </c>
      <c r="E751">
        <v>49</v>
      </c>
      <c r="F751" s="2" t="s">
        <v>13</v>
      </c>
      <c r="G751" s="2">
        <v>3</v>
      </c>
      <c r="H751" s="5">
        <v>25</v>
      </c>
      <c r="I751" s="5">
        <f t="shared" si="22"/>
        <v>75</v>
      </c>
      <c r="J751" s="2" t="str">
        <f>TEXT([1]retail_sales_cleaned_dataset!B751,"mmmm")</f>
        <v>October</v>
      </c>
      <c r="K751" s="2">
        <f>MONTH([1]retail_sales_cleaned_dataset!B751)</f>
        <v>10</v>
      </c>
      <c r="L751" s="2">
        <f>YEAR([1]retail_sales_cleaned_dataset!B751)</f>
        <v>2025</v>
      </c>
      <c r="M751" s="2" t="str">
        <f t="shared" si="23"/>
        <v>46+</v>
      </c>
    </row>
    <row r="752" spans="1:13" x14ac:dyDescent="0.25">
      <c r="A752" s="2">
        <v>751</v>
      </c>
      <c r="B752" s="1">
        <v>45934</v>
      </c>
      <c r="C752" t="s">
        <v>542</v>
      </c>
      <c r="D752" t="s">
        <v>9</v>
      </c>
      <c r="E752">
        <v>24</v>
      </c>
      <c r="F752" s="2" t="s">
        <v>13</v>
      </c>
      <c r="G752" s="2">
        <v>2</v>
      </c>
      <c r="H752" s="5">
        <v>25</v>
      </c>
      <c r="I752" s="5">
        <f t="shared" si="22"/>
        <v>50</v>
      </c>
      <c r="J752" s="2" t="str">
        <f>TEXT([1]retail_sales_cleaned_dataset!B752,"mmmm")</f>
        <v>October</v>
      </c>
      <c r="K752" s="2">
        <f>MONTH([1]retail_sales_cleaned_dataset!B752)</f>
        <v>10</v>
      </c>
      <c r="L752" s="2">
        <f>YEAR([1]retail_sales_cleaned_dataset!B752)</f>
        <v>2025</v>
      </c>
      <c r="M752" s="2" t="str">
        <f t="shared" si="23"/>
        <v>18-25</v>
      </c>
    </row>
    <row r="753" spans="1:13" x14ac:dyDescent="0.25">
      <c r="A753" s="2">
        <v>752</v>
      </c>
      <c r="B753" s="1">
        <v>45934</v>
      </c>
      <c r="C753" t="s">
        <v>543</v>
      </c>
      <c r="D753" t="s">
        <v>12</v>
      </c>
      <c r="E753">
        <v>46</v>
      </c>
      <c r="F753" s="2" t="s">
        <v>13</v>
      </c>
      <c r="G753" s="2">
        <v>2</v>
      </c>
      <c r="H753" s="5">
        <v>50</v>
      </c>
      <c r="I753" s="5">
        <f t="shared" si="22"/>
        <v>100</v>
      </c>
      <c r="J753" s="2" t="str">
        <f>TEXT([1]retail_sales_cleaned_dataset!B753,"mmmm")</f>
        <v>October</v>
      </c>
      <c r="K753" s="2">
        <f>MONTH([1]retail_sales_cleaned_dataset!B753)</f>
        <v>10</v>
      </c>
      <c r="L753" s="2">
        <f>YEAR([1]retail_sales_cleaned_dataset!B753)</f>
        <v>2025</v>
      </c>
      <c r="M753" s="2" t="str">
        <f t="shared" si="23"/>
        <v>46+</v>
      </c>
    </row>
    <row r="754" spans="1:13" x14ac:dyDescent="0.25">
      <c r="A754" s="2">
        <v>753</v>
      </c>
      <c r="B754" s="1">
        <v>45935</v>
      </c>
      <c r="C754" t="s">
        <v>544</v>
      </c>
      <c r="D754" t="s">
        <v>9</v>
      </c>
      <c r="E754">
        <v>25</v>
      </c>
      <c r="F754" s="2" t="s">
        <v>13</v>
      </c>
      <c r="G754" s="2">
        <v>1</v>
      </c>
      <c r="H754" s="5">
        <v>30</v>
      </c>
      <c r="I754" s="5">
        <f t="shared" si="22"/>
        <v>30</v>
      </c>
      <c r="J754" s="2" t="str">
        <f>TEXT([1]retail_sales_cleaned_dataset!B754,"mmmm")</f>
        <v>October</v>
      </c>
      <c r="K754" s="2">
        <f>MONTH([1]retail_sales_cleaned_dataset!B754)</f>
        <v>10</v>
      </c>
      <c r="L754" s="2">
        <f>YEAR([1]retail_sales_cleaned_dataset!B754)</f>
        <v>2025</v>
      </c>
      <c r="M754" s="2" t="str">
        <f t="shared" si="23"/>
        <v>18-25</v>
      </c>
    </row>
    <row r="755" spans="1:13" x14ac:dyDescent="0.25">
      <c r="A755" s="2">
        <v>754</v>
      </c>
      <c r="B755" s="1">
        <v>45935</v>
      </c>
      <c r="C755" t="s">
        <v>545</v>
      </c>
      <c r="D755" t="s">
        <v>12</v>
      </c>
      <c r="E755">
        <v>18</v>
      </c>
      <c r="F755" s="2" t="s">
        <v>15</v>
      </c>
      <c r="G755" s="2">
        <v>4</v>
      </c>
      <c r="H755" s="5">
        <v>25</v>
      </c>
      <c r="I755" s="5">
        <f t="shared" si="22"/>
        <v>100</v>
      </c>
      <c r="J755" s="2" t="str">
        <f>TEXT([1]retail_sales_cleaned_dataset!B755,"mmmm")</f>
        <v>October</v>
      </c>
      <c r="K755" s="2">
        <f>MONTH([1]retail_sales_cleaned_dataset!B755)</f>
        <v>10</v>
      </c>
      <c r="L755" s="2">
        <f>YEAR([1]retail_sales_cleaned_dataset!B755)</f>
        <v>2025</v>
      </c>
      <c r="M755" s="2" t="str">
        <f t="shared" si="23"/>
        <v>18-25</v>
      </c>
    </row>
    <row r="756" spans="1:13" x14ac:dyDescent="0.25">
      <c r="A756" s="2">
        <v>755</v>
      </c>
      <c r="B756" s="1">
        <v>45936</v>
      </c>
      <c r="C756" t="s">
        <v>88</v>
      </c>
      <c r="D756" t="s">
        <v>12</v>
      </c>
      <c r="E756">
        <v>20</v>
      </c>
      <c r="F756" s="2" t="s">
        <v>13</v>
      </c>
      <c r="G756" s="2">
        <v>3</v>
      </c>
      <c r="H756" s="5">
        <v>25</v>
      </c>
      <c r="I756" s="5">
        <f t="shared" si="22"/>
        <v>75</v>
      </c>
      <c r="J756" s="2" t="str">
        <f>TEXT([1]retail_sales_cleaned_dataset!B756,"mmmm")</f>
        <v>October</v>
      </c>
      <c r="K756" s="2">
        <f>MONTH([1]retail_sales_cleaned_dataset!B756)</f>
        <v>10</v>
      </c>
      <c r="L756" s="2">
        <f>YEAR([1]retail_sales_cleaned_dataset!B756)</f>
        <v>2025</v>
      </c>
      <c r="M756" s="2" t="str">
        <f t="shared" si="23"/>
        <v>18-25</v>
      </c>
    </row>
    <row r="757" spans="1:13" x14ac:dyDescent="0.25">
      <c r="A757" s="2">
        <v>756</v>
      </c>
      <c r="B757" s="1">
        <v>45937</v>
      </c>
      <c r="C757" t="s">
        <v>546</v>
      </c>
      <c r="D757" t="s">
        <v>12</v>
      </c>
      <c r="E757">
        <v>41</v>
      </c>
      <c r="F757" s="2" t="s">
        <v>15</v>
      </c>
      <c r="G757" s="2">
        <v>4</v>
      </c>
      <c r="H757" s="5">
        <v>300</v>
      </c>
      <c r="I757" s="5">
        <f t="shared" si="22"/>
        <v>1200</v>
      </c>
      <c r="J757" s="2" t="str">
        <f>TEXT([1]retail_sales_cleaned_dataset!B757,"mmmm")</f>
        <v>October</v>
      </c>
      <c r="K757" s="2">
        <f>MONTH([1]retail_sales_cleaned_dataset!B757)</f>
        <v>10</v>
      </c>
      <c r="L757" s="2">
        <f>YEAR([1]retail_sales_cleaned_dataset!B757)</f>
        <v>2025</v>
      </c>
      <c r="M757" s="2" t="str">
        <f t="shared" si="23"/>
        <v>36-45</v>
      </c>
    </row>
    <row r="758" spans="1:13" x14ac:dyDescent="0.25">
      <c r="A758" s="2">
        <v>757</v>
      </c>
      <c r="B758" s="1">
        <v>45937</v>
      </c>
      <c r="C758" t="s">
        <v>151</v>
      </c>
      <c r="D758" t="s">
        <v>12</v>
      </c>
      <c r="E758">
        <v>40</v>
      </c>
      <c r="F758" s="2" t="s">
        <v>15</v>
      </c>
      <c r="G758" s="2">
        <v>4</v>
      </c>
      <c r="H758" s="5">
        <v>300</v>
      </c>
      <c r="I758" s="5">
        <f t="shared" si="22"/>
        <v>1200</v>
      </c>
      <c r="J758" s="2" t="str">
        <f>TEXT([1]retail_sales_cleaned_dataset!B758,"mmmm")</f>
        <v>October</v>
      </c>
      <c r="K758" s="2">
        <f>MONTH([1]retail_sales_cleaned_dataset!B758)</f>
        <v>10</v>
      </c>
      <c r="L758" s="2">
        <f>YEAR([1]retail_sales_cleaned_dataset!B758)</f>
        <v>2025</v>
      </c>
      <c r="M758" s="2" t="str">
        <f t="shared" si="23"/>
        <v>36-45</v>
      </c>
    </row>
    <row r="759" spans="1:13" x14ac:dyDescent="0.25">
      <c r="A759" s="2">
        <v>758</v>
      </c>
      <c r="B759" s="1">
        <v>45937</v>
      </c>
      <c r="C759" t="s">
        <v>547</v>
      </c>
      <c r="D759" t="s">
        <v>12</v>
      </c>
      <c r="E759">
        <v>25</v>
      </c>
      <c r="F759" s="2" t="s">
        <v>13</v>
      </c>
      <c r="G759" s="2">
        <v>4</v>
      </c>
      <c r="H759" s="5">
        <v>25</v>
      </c>
      <c r="I759" s="5">
        <f t="shared" si="22"/>
        <v>100</v>
      </c>
      <c r="J759" s="2" t="str">
        <f>TEXT([1]retail_sales_cleaned_dataset!B759,"mmmm")</f>
        <v>October</v>
      </c>
      <c r="K759" s="2">
        <f>MONTH([1]retail_sales_cleaned_dataset!B759)</f>
        <v>10</v>
      </c>
      <c r="L759" s="2">
        <f>YEAR([1]retail_sales_cleaned_dataset!B759)</f>
        <v>2025</v>
      </c>
      <c r="M759" s="2" t="str">
        <f t="shared" si="23"/>
        <v>18-25</v>
      </c>
    </row>
    <row r="760" spans="1:13" x14ac:dyDescent="0.25">
      <c r="A760" s="2">
        <v>759</v>
      </c>
      <c r="B760" s="1">
        <v>45937</v>
      </c>
      <c r="C760" t="s">
        <v>270</v>
      </c>
      <c r="D760" t="s">
        <v>12</v>
      </c>
      <c r="E760">
        <v>64</v>
      </c>
      <c r="F760" s="2" t="s">
        <v>15</v>
      </c>
      <c r="G760" s="2">
        <v>2</v>
      </c>
      <c r="H760" s="5">
        <v>50</v>
      </c>
      <c r="I760" s="5">
        <f t="shared" si="22"/>
        <v>100</v>
      </c>
      <c r="J760" s="2" t="str">
        <f>TEXT([1]retail_sales_cleaned_dataset!B760,"mmmm")</f>
        <v>October</v>
      </c>
      <c r="K760" s="2">
        <f>MONTH([1]retail_sales_cleaned_dataset!B760)</f>
        <v>10</v>
      </c>
      <c r="L760" s="2">
        <f>YEAR([1]retail_sales_cleaned_dataset!B760)</f>
        <v>2025</v>
      </c>
      <c r="M760" s="2" t="str">
        <f t="shared" si="23"/>
        <v>46+</v>
      </c>
    </row>
    <row r="761" spans="1:13" x14ac:dyDescent="0.25">
      <c r="A761" s="2">
        <v>760</v>
      </c>
      <c r="B761" s="1">
        <v>45938</v>
      </c>
      <c r="C761" t="s">
        <v>548</v>
      </c>
      <c r="D761" t="s">
        <v>9</v>
      </c>
      <c r="E761">
        <v>54</v>
      </c>
      <c r="F761" s="2" t="s">
        <v>10</v>
      </c>
      <c r="G761" s="2">
        <v>1</v>
      </c>
      <c r="H761" s="5">
        <v>500</v>
      </c>
      <c r="I761" s="5">
        <f t="shared" si="22"/>
        <v>500</v>
      </c>
      <c r="J761" s="2" t="str">
        <f>TEXT([1]retail_sales_cleaned_dataset!B761,"mmmm")</f>
        <v>October</v>
      </c>
      <c r="K761" s="2">
        <f>MONTH([1]retail_sales_cleaned_dataset!B761)</f>
        <v>10</v>
      </c>
      <c r="L761" s="2">
        <f>YEAR([1]retail_sales_cleaned_dataset!B761)</f>
        <v>2025</v>
      </c>
      <c r="M761" s="2" t="str">
        <f t="shared" si="23"/>
        <v>46+</v>
      </c>
    </row>
    <row r="762" spans="1:13" x14ac:dyDescent="0.25">
      <c r="A762" s="2">
        <v>761</v>
      </c>
      <c r="B762" s="1">
        <v>45938</v>
      </c>
      <c r="C762" t="s">
        <v>61</v>
      </c>
      <c r="D762" t="s">
        <v>9</v>
      </c>
      <c r="E762">
        <v>20</v>
      </c>
      <c r="F762" s="2" t="s">
        <v>13</v>
      </c>
      <c r="G762" s="2">
        <v>1</v>
      </c>
      <c r="H762" s="5">
        <v>500</v>
      </c>
      <c r="I762" s="5">
        <f t="shared" si="22"/>
        <v>500</v>
      </c>
      <c r="J762" s="2" t="str">
        <f>TEXT([1]retail_sales_cleaned_dataset!B762,"mmmm")</f>
        <v>October</v>
      </c>
      <c r="K762" s="2">
        <f>MONTH([1]retail_sales_cleaned_dataset!B762)</f>
        <v>10</v>
      </c>
      <c r="L762" s="2">
        <f>YEAR([1]retail_sales_cleaned_dataset!B762)</f>
        <v>2025</v>
      </c>
      <c r="M762" s="2" t="str">
        <f t="shared" si="23"/>
        <v>18-25</v>
      </c>
    </row>
    <row r="763" spans="1:13" x14ac:dyDescent="0.25">
      <c r="A763" s="2">
        <v>762</v>
      </c>
      <c r="B763" s="1">
        <v>45939</v>
      </c>
      <c r="C763" t="s">
        <v>549</v>
      </c>
      <c r="D763" t="s">
        <v>9</v>
      </c>
      <c r="E763">
        <v>50</v>
      </c>
      <c r="F763" s="2" t="s">
        <v>15</v>
      </c>
      <c r="G763" s="2">
        <v>2</v>
      </c>
      <c r="H763" s="5">
        <v>25</v>
      </c>
      <c r="I763" s="5">
        <f t="shared" si="22"/>
        <v>50</v>
      </c>
      <c r="J763" s="2" t="str">
        <f>TEXT([1]retail_sales_cleaned_dataset!B763,"mmmm")</f>
        <v>October</v>
      </c>
      <c r="K763" s="2">
        <f>MONTH([1]retail_sales_cleaned_dataset!B763)</f>
        <v>10</v>
      </c>
      <c r="L763" s="2">
        <f>YEAR([1]retail_sales_cleaned_dataset!B763)</f>
        <v>2025</v>
      </c>
      <c r="M763" s="2" t="str">
        <f t="shared" si="23"/>
        <v>46+</v>
      </c>
    </row>
    <row r="764" spans="1:13" x14ac:dyDescent="0.25">
      <c r="A764" s="2">
        <v>763</v>
      </c>
      <c r="B764" s="1">
        <v>45939</v>
      </c>
      <c r="C764" t="s">
        <v>120</v>
      </c>
      <c r="D764" t="s">
        <v>12</v>
      </c>
      <c r="E764">
        <v>45</v>
      </c>
      <c r="F764" s="2" t="s">
        <v>13</v>
      </c>
      <c r="G764" s="2">
        <v>2</v>
      </c>
      <c r="H764" s="5">
        <v>25</v>
      </c>
      <c r="I764" s="5">
        <f t="shared" si="22"/>
        <v>50</v>
      </c>
      <c r="J764" s="2" t="str">
        <f>TEXT([1]retail_sales_cleaned_dataset!B764,"mmmm")</f>
        <v>October</v>
      </c>
      <c r="K764" s="2">
        <f>MONTH([1]retail_sales_cleaned_dataset!B764)</f>
        <v>10</v>
      </c>
      <c r="L764" s="2">
        <f>YEAR([1]retail_sales_cleaned_dataset!B764)</f>
        <v>2025</v>
      </c>
      <c r="M764" s="2" t="str">
        <f t="shared" si="23"/>
        <v>36-45</v>
      </c>
    </row>
    <row r="765" spans="1:13" x14ac:dyDescent="0.25">
      <c r="A765" s="2">
        <v>764</v>
      </c>
      <c r="B765" s="1">
        <v>45939</v>
      </c>
      <c r="C765" t="s">
        <v>550</v>
      </c>
      <c r="D765" t="s">
        <v>12</v>
      </c>
      <c r="E765">
        <v>64</v>
      </c>
      <c r="F765" s="2" t="s">
        <v>13</v>
      </c>
      <c r="G765" s="2">
        <v>1</v>
      </c>
      <c r="H765" s="5">
        <v>25</v>
      </c>
      <c r="I765" s="5">
        <f t="shared" si="22"/>
        <v>25</v>
      </c>
      <c r="J765" s="2" t="str">
        <f>TEXT([1]retail_sales_cleaned_dataset!B765,"mmmm")</f>
        <v>October</v>
      </c>
      <c r="K765" s="2">
        <f>MONTH([1]retail_sales_cleaned_dataset!B765)</f>
        <v>10</v>
      </c>
      <c r="L765" s="2">
        <f>YEAR([1]retail_sales_cleaned_dataset!B765)</f>
        <v>2025</v>
      </c>
      <c r="M765" s="2" t="str">
        <f t="shared" si="23"/>
        <v>46+</v>
      </c>
    </row>
    <row r="766" spans="1:13" x14ac:dyDescent="0.25">
      <c r="A766" s="2">
        <v>765</v>
      </c>
      <c r="B766" s="1">
        <v>45940</v>
      </c>
      <c r="C766" t="s">
        <v>322</v>
      </c>
      <c r="D766" t="s">
        <v>12</v>
      </c>
      <c r="E766">
        <v>25</v>
      </c>
      <c r="F766" s="2" t="s">
        <v>13</v>
      </c>
      <c r="G766" s="2">
        <v>4</v>
      </c>
      <c r="H766" s="5">
        <v>50</v>
      </c>
      <c r="I766" s="5">
        <f t="shared" si="22"/>
        <v>200</v>
      </c>
      <c r="J766" s="2" t="str">
        <f>TEXT([1]retail_sales_cleaned_dataset!B766,"mmmm")</f>
        <v>October</v>
      </c>
      <c r="K766" s="2">
        <f>MONTH([1]retail_sales_cleaned_dataset!B766)</f>
        <v>10</v>
      </c>
      <c r="L766" s="2">
        <f>YEAR([1]retail_sales_cleaned_dataset!B766)</f>
        <v>2025</v>
      </c>
      <c r="M766" s="2" t="str">
        <f t="shared" si="23"/>
        <v>18-25</v>
      </c>
    </row>
    <row r="767" spans="1:13" x14ac:dyDescent="0.25">
      <c r="A767" s="2">
        <v>766</v>
      </c>
      <c r="B767" s="1">
        <v>45940</v>
      </c>
      <c r="C767" t="s">
        <v>551</v>
      </c>
      <c r="D767" t="s">
        <v>12</v>
      </c>
      <c r="E767">
        <v>51</v>
      </c>
      <c r="F767" s="2" t="s">
        <v>15</v>
      </c>
      <c r="G767" s="2">
        <v>3</v>
      </c>
      <c r="H767" s="5">
        <v>300</v>
      </c>
      <c r="I767" s="5">
        <f t="shared" si="22"/>
        <v>900</v>
      </c>
      <c r="J767" s="2" t="str">
        <f>TEXT([1]retail_sales_cleaned_dataset!B767,"mmmm")</f>
        <v>October</v>
      </c>
      <c r="K767" s="2">
        <f>MONTH([1]retail_sales_cleaned_dataset!B767)</f>
        <v>10</v>
      </c>
      <c r="L767" s="2">
        <f>YEAR([1]retail_sales_cleaned_dataset!B767)</f>
        <v>2025</v>
      </c>
      <c r="M767" s="2" t="str">
        <f t="shared" si="23"/>
        <v>46+</v>
      </c>
    </row>
    <row r="768" spans="1:13" x14ac:dyDescent="0.25">
      <c r="A768" s="2">
        <v>767</v>
      </c>
      <c r="B768" s="1">
        <v>45940</v>
      </c>
      <c r="C768" t="s">
        <v>426</v>
      </c>
      <c r="D768" t="s">
        <v>9</v>
      </c>
      <c r="E768">
        <v>52</v>
      </c>
      <c r="F768" s="2" t="s">
        <v>10</v>
      </c>
      <c r="G768" s="2">
        <v>3</v>
      </c>
      <c r="H768" s="5">
        <v>25</v>
      </c>
      <c r="I768" s="5">
        <f t="shared" si="22"/>
        <v>75</v>
      </c>
      <c r="J768" s="2" t="str">
        <f>TEXT([1]retail_sales_cleaned_dataset!B768,"mmmm")</f>
        <v>October</v>
      </c>
      <c r="K768" s="2">
        <f>MONTH([1]retail_sales_cleaned_dataset!B768)</f>
        <v>10</v>
      </c>
      <c r="L768" s="2">
        <f>YEAR([1]retail_sales_cleaned_dataset!B768)</f>
        <v>2025</v>
      </c>
      <c r="M768" s="2" t="str">
        <f t="shared" si="23"/>
        <v>46+</v>
      </c>
    </row>
    <row r="769" spans="1:13" x14ac:dyDescent="0.25">
      <c r="A769" s="2">
        <v>768</v>
      </c>
      <c r="B769" s="1">
        <v>45940</v>
      </c>
      <c r="C769" t="s">
        <v>552</v>
      </c>
      <c r="D769" t="s">
        <v>9</v>
      </c>
      <c r="E769">
        <v>49</v>
      </c>
      <c r="F769" s="2" t="s">
        <v>10</v>
      </c>
      <c r="G769" s="2">
        <v>3</v>
      </c>
      <c r="H769" s="5">
        <v>25</v>
      </c>
      <c r="I769" s="5">
        <f t="shared" si="22"/>
        <v>75</v>
      </c>
      <c r="J769" s="2" t="str">
        <f>TEXT([1]retail_sales_cleaned_dataset!B769,"mmmm")</f>
        <v>October</v>
      </c>
      <c r="K769" s="2">
        <f>MONTH([1]retail_sales_cleaned_dataset!B769)</f>
        <v>10</v>
      </c>
      <c r="L769" s="2">
        <f>YEAR([1]retail_sales_cleaned_dataset!B769)</f>
        <v>2025</v>
      </c>
      <c r="M769" s="2" t="str">
        <f t="shared" si="23"/>
        <v>46+</v>
      </c>
    </row>
    <row r="770" spans="1:13" x14ac:dyDescent="0.25">
      <c r="A770" s="2">
        <v>769</v>
      </c>
      <c r="B770" s="1">
        <v>45941</v>
      </c>
      <c r="C770" t="s">
        <v>14</v>
      </c>
      <c r="D770" t="s">
        <v>12</v>
      </c>
      <c r="E770">
        <v>41</v>
      </c>
      <c r="F770" s="2" t="s">
        <v>15</v>
      </c>
      <c r="G770" s="2">
        <v>4</v>
      </c>
      <c r="H770" s="5">
        <v>30</v>
      </c>
      <c r="I770" s="5">
        <f t="shared" ref="I770:I833" si="24">G770*H770</f>
        <v>120</v>
      </c>
      <c r="J770" s="2" t="str">
        <f>TEXT([1]retail_sales_cleaned_dataset!B770,"mmmm")</f>
        <v>October</v>
      </c>
      <c r="K770" s="2">
        <f>MONTH([1]retail_sales_cleaned_dataset!B770)</f>
        <v>10</v>
      </c>
      <c r="L770" s="2">
        <f>YEAR([1]retail_sales_cleaned_dataset!B770)</f>
        <v>2025</v>
      </c>
      <c r="M770" s="2" t="str">
        <f t="shared" ref="M770:M833" si="25">IF(E770&lt;=25,"18-25",IF(E770&lt;=35,"26-35",IF(E770&lt;=45,"36-45","46+")))</f>
        <v>36-45</v>
      </c>
    </row>
    <row r="771" spans="1:13" x14ac:dyDescent="0.25">
      <c r="A771" s="2">
        <v>770</v>
      </c>
      <c r="B771" s="1">
        <v>45941</v>
      </c>
      <c r="C771" t="s">
        <v>553</v>
      </c>
      <c r="D771" t="s">
        <v>9</v>
      </c>
      <c r="E771">
        <v>31</v>
      </c>
      <c r="F771" s="2" t="s">
        <v>13</v>
      </c>
      <c r="G771" s="2">
        <v>1</v>
      </c>
      <c r="H771" s="5">
        <v>50</v>
      </c>
      <c r="I771" s="5">
        <f t="shared" si="24"/>
        <v>50</v>
      </c>
      <c r="J771" s="2" t="str">
        <f>TEXT([1]retail_sales_cleaned_dataset!B771,"mmmm")</f>
        <v>October</v>
      </c>
      <c r="K771" s="2">
        <f>MONTH([1]retail_sales_cleaned_dataset!B771)</f>
        <v>10</v>
      </c>
      <c r="L771" s="2">
        <f>YEAR([1]retail_sales_cleaned_dataset!B771)</f>
        <v>2025</v>
      </c>
      <c r="M771" s="2" t="str">
        <f t="shared" si="25"/>
        <v>26-35</v>
      </c>
    </row>
    <row r="772" spans="1:13" x14ac:dyDescent="0.25">
      <c r="A772" s="2">
        <v>771</v>
      </c>
      <c r="B772" s="1">
        <v>45941</v>
      </c>
      <c r="C772" t="s">
        <v>75</v>
      </c>
      <c r="D772" t="s">
        <v>9</v>
      </c>
      <c r="E772">
        <v>49</v>
      </c>
      <c r="F772" s="2" t="s">
        <v>15</v>
      </c>
      <c r="G772" s="2">
        <v>2</v>
      </c>
      <c r="H772" s="5">
        <v>25</v>
      </c>
      <c r="I772" s="5">
        <f t="shared" si="24"/>
        <v>50</v>
      </c>
      <c r="J772" s="2" t="str">
        <f>TEXT([1]retail_sales_cleaned_dataset!B772,"mmmm")</f>
        <v>October</v>
      </c>
      <c r="K772" s="2">
        <f>MONTH([1]retail_sales_cleaned_dataset!B772)</f>
        <v>10</v>
      </c>
      <c r="L772" s="2">
        <f>YEAR([1]retail_sales_cleaned_dataset!B772)</f>
        <v>2025</v>
      </c>
      <c r="M772" s="2" t="str">
        <f t="shared" si="25"/>
        <v>46+</v>
      </c>
    </row>
    <row r="773" spans="1:13" x14ac:dyDescent="0.25">
      <c r="A773" s="2">
        <v>772</v>
      </c>
      <c r="B773" s="1">
        <v>45941</v>
      </c>
      <c r="C773" t="s">
        <v>554</v>
      </c>
      <c r="D773" t="s">
        <v>12</v>
      </c>
      <c r="E773">
        <v>63</v>
      </c>
      <c r="F773" s="2" t="s">
        <v>15</v>
      </c>
      <c r="G773" s="2">
        <v>1</v>
      </c>
      <c r="H773" s="5">
        <v>30</v>
      </c>
      <c r="I773" s="5">
        <f t="shared" si="24"/>
        <v>30</v>
      </c>
      <c r="J773" s="2" t="str">
        <f>TEXT([1]retail_sales_cleaned_dataset!B773,"mmmm")</f>
        <v>October</v>
      </c>
      <c r="K773" s="2">
        <f>MONTH([1]retail_sales_cleaned_dataset!B773)</f>
        <v>10</v>
      </c>
      <c r="L773" s="2">
        <f>YEAR([1]retail_sales_cleaned_dataset!B773)</f>
        <v>2025</v>
      </c>
      <c r="M773" s="2" t="str">
        <f t="shared" si="25"/>
        <v>46+</v>
      </c>
    </row>
    <row r="774" spans="1:13" x14ac:dyDescent="0.25">
      <c r="A774" s="2">
        <v>773</v>
      </c>
      <c r="B774" s="1">
        <v>45941</v>
      </c>
      <c r="C774" t="s">
        <v>41</v>
      </c>
      <c r="D774" t="s">
        <v>9</v>
      </c>
      <c r="E774">
        <v>60</v>
      </c>
      <c r="F774" s="2" t="s">
        <v>15</v>
      </c>
      <c r="G774" s="2">
        <v>4</v>
      </c>
      <c r="H774" s="5">
        <v>500</v>
      </c>
      <c r="I774" s="5">
        <f t="shared" si="24"/>
        <v>2000</v>
      </c>
      <c r="J774" s="2" t="str">
        <f>TEXT([1]retail_sales_cleaned_dataset!B774,"mmmm")</f>
        <v>October</v>
      </c>
      <c r="K774" s="2">
        <f>MONTH([1]retail_sales_cleaned_dataset!B774)</f>
        <v>10</v>
      </c>
      <c r="L774" s="2">
        <f>YEAR([1]retail_sales_cleaned_dataset!B774)</f>
        <v>2025</v>
      </c>
      <c r="M774" s="2" t="str">
        <f t="shared" si="25"/>
        <v>46+</v>
      </c>
    </row>
    <row r="775" spans="1:13" x14ac:dyDescent="0.25">
      <c r="A775" s="2">
        <v>774</v>
      </c>
      <c r="B775" s="1">
        <v>45941</v>
      </c>
      <c r="C775" t="s">
        <v>555</v>
      </c>
      <c r="D775" t="s">
        <v>12</v>
      </c>
      <c r="E775">
        <v>33</v>
      </c>
      <c r="F775" s="2" t="s">
        <v>13</v>
      </c>
      <c r="G775" s="2">
        <v>2</v>
      </c>
      <c r="H775" s="5">
        <v>25</v>
      </c>
      <c r="I775" s="5">
        <f t="shared" si="24"/>
        <v>50</v>
      </c>
      <c r="J775" s="2" t="str">
        <f>TEXT([1]retail_sales_cleaned_dataset!B775,"mmmm")</f>
        <v>October</v>
      </c>
      <c r="K775" s="2">
        <f>MONTH([1]retail_sales_cleaned_dataset!B775)</f>
        <v>10</v>
      </c>
      <c r="L775" s="2">
        <f>YEAR([1]retail_sales_cleaned_dataset!B775)</f>
        <v>2025</v>
      </c>
      <c r="M775" s="2" t="str">
        <f t="shared" si="25"/>
        <v>26-35</v>
      </c>
    </row>
    <row r="776" spans="1:13" x14ac:dyDescent="0.25">
      <c r="A776" s="2">
        <v>775</v>
      </c>
      <c r="B776" s="1">
        <v>45941</v>
      </c>
      <c r="C776" t="s">
        <v>126</v>
      </c>
      <c r="D776" t="s">
        <v>9</v>
      </c>
      <c r="E776">
        <v>21</v>
      </c>
      <c r="F776" s="2" t="s">
        <v>15</v>
      </c>
      <c r="G776" s="2">
        <v>4</v>
      </c>
      <c r="H776" s="5">
        <v>25</v>
      </c>
      <c r="I776" s="5">
        <f t="shared" si="24"/>
        <v>100</v>
      </c>
      <c r="J776" s="2" t="str">
        <f>TEXT([1]retail_sales_cleaned_dataset!B776,"mmmm")</f>
        <v>October</v>
      </c>
      <c r="K776" s="2">
        <f>MONTH([1]retail_sales_cleaned_dataset!B776)</f>
        <v>10</v>
      </c>
      <c r="L776" s="2">
        <f>YEAR([1]retail_sales_cleaned_dataset!B776)</f>
        <v>2025</v>
      </c>
      <c r="M776" s="2" t="str">
        <f t="shared" si="25"/>
        <v>18-25</v>
      </c>
    </row>
    <row r="777" spans="1:13" x14ac:dyDescent="0.25">
      <c r="A777" s="2">
        <v>776</v>
      </c>
      <c r="B777" s="1">
        <v>45942</v>
      </c>
      <c r="C777" t="s">
        <v>556</v>
      </c>
      <c r="D777" t="s">
        <v>12</v>
      </c>
      <c r="E777">
        <v>54</v>
      </c>
      <c r="F777" s="2" t="s">
        <v>13</v>
      </c>
      <c r="G777" s="2">
        <v>3</v>
      </c>
      <c r="H777" s="5">
        <v>30</v>
      </c>
      <c r="I777" s="5">
        <f t="shared" si="24"/>
        <v>90</v>
      </c>
      <c r="J777" s="2" t="str">
        <f>TEXT([1]retail_sales_cleaned_dataset!B777,"mmmm")</f>
        <v>October</v>
      </c>
      <c r="K777" s="2">
        <f>MONTH([1]retail_sales_cleaned_dataset!B777)</f>
        <v>10</v>
      </c>
      <c r="L777" s="2">
        <f>YEAR([1]retail_sales_cleaned_dataset!B777)</f>
        <v>2025</v>
      </c>
      <c r="M777" s="2" t="str">
        <f t="shared" si="25"/>
        <v>46+</v>
      </c>
    </row>
    <row r="778" spans="1:13" x14ac:dyDescent="0.25">
      <c r="A778" s="2">
        <v>777</v>
      </c>
      <c r="B778" s="1">
        <v>45942</v>
      </c>
      <c r="C778" t="s">
        <v>320</v>
      </c>
      <c r="D778" t="s">
        <v>12</v>
      </c>
      <c r="E778">
        <v>38</v>
      </c>
      <c r="F778" s="2" t="s">
        <v>15</v>
      </c>
      <c r="G778" s="2">
        <v>3</v>
      </c>
      <c r="H778" s="5">
        <v>50</v>
      </c>
      <c r="I778" s="5">
        <f t="shared" si="24"/>
        <v>150</v>
      </c>
      <c r="J778" s="2" t="str">
        <f>TEXT([1]retail_sales_cleaned_dataset!B778,"mmmm")</f>
        <v>October</v>
      </c>
      <c r="K778" s="2">
        <f>MONTH([1]retail_sales_cleaned_dataset!B778)</f>
        <v>10</v>
      </c>
      <c r="L778" s="2">
        <f>YEAR([1]retail_sales_cleaned_dataset!B778)</f>
        <v>2025</v>
      </c>
      <c r="M778" s="2" t="str">
        <f t="shared" si="25"/>
        <v>36-45</v>
      </c>
    </row>
    <row r="779" spans="1:13" x14ac:dyDescent="0.25">
      <c r="A779" s="2">
        <v>778</v>
      </c>
      <c r="B779" s="1">
        <v>45942</v>
      </c>
      <c r="C779" t="s">
        <v>557</v>
      </c>
      <c r="D779" t="s">
        <v>12</v>
      </c>
      <c r="E779">
        <v>31</v>
      </c>
      <c r="F779" s="2" t="s">
        <v>10</v>
      </c>
      <c r="G779" s="2">
        <v>4</v>
      </c>
      <c r="H779" s="5">
        <v>25</v>
      </c>
      <c r="I779" s="5">
        <f t="shared" si="24"/>
        <v>100</v>
      </c>
      <c r="J779" s="2" t="str">
        <f>TEXT([1]retail_sales_cleaned_dataset!B779,"mmmm")</f>
        <v>October</v>
      </c>
      <c r="K779" s="2">
        <f>MONTH([1]retail_sales_cleaned_dataset!B779)</f>
        <v>10</v>
      </c>
      <c r="L779" s="2">
        <f>YEAR([1]retail_sales_cleaned_dataset!B779)</f>
        <v>2025</v>
      </c>
      <c r="M779" s="2" t="str">
        <f t="shared" si="25"/>
        <v>26-35</v>
      </c>
    </row>
    <row r="780" spans="1:13" x14ac:dyDescent="0.25">
      <c r="A780" s="2">
        <v>779</v>
      </c>
      <c r="B780" s="1">
        <v>45943</v>
      </c>
      <c r="C780" t="s">
        <v>317</v>
      </c>
      <c r="D780" t="s">
        <v>12</v>
      </c>
      <c r="E780">
        <v>48</v>
      </c>
      <c r="F780" s="2" t="s">
        <v>15</v>
      </c>
      <c r="G780" s="2">
        <v>5</v>
      </c>
      <c r="H780" s="5">
        <v>500</v>
      </c>
      <c r="I780" s="5">
        <f t="shared" si="24"/>
        <v>2500</v>
      </c>
      <c r="J780" s="2" t="str">
        <f>TEXT([1]retail_sales_cleaned_dataset!B780,"mmmm")</f>
        <v>October</v>
      </c>
      <c r="K780" s="2">
        <f>MONTH([1]retail_sales_cleaned_dataset!B780)</f>
        <v>10</v>
      </c>
      <c r="L780" s="2">
        <f>YEAR([1]retail_sales_cleaned_dataset!B780)</f>
        <v>2025</v>
      </c>
      <c r="M780" s="2" t="str">
        <f t="shared" si="25"/>
        <v>46+</v>
      </c>
    </row>
    <row r="781" spans="1:13" x14ac:dyDescent="0.25">
      <c r="A781" s="2">
        <v>780</v>
      </c>
      <c r="B781" s="1">
        <v>45943</v>
      </c>
      <c r="C781" t="s">
        <v>558</v>
      </c>
      <c r="D781" t="s">
        <v>9</v>
      </c>
      <c r="E781">
        <v>35</v>
      </c>
      <c r="F781" s="2" t="s">
        <v>15</v>
      </c>
      <c r="G781" s="2">
        <v>2</v>
      </c>
      <c r="H781" s="5">
        <v>25</v>
      </c>
      <c r="I781" s="5">
        <f t="shared" si="24"/>
        <v>50</v>
      </c>
      <c r="J781" s="2" t="str">
        <f>TEXT([1]retail_sales_cleaned_dataset!B781,"mmmm")</f>
        <v>October</v>
      </c>
      <c r="K781" s="2">
        <f>MONTH([1]retail_sales_cleaned_dataset!B781)</f>
        <v>10</v>
      </c>
      <c r="L781" s="2">
        <f>YEAR([1]retail_sales_cleaned_dataset!B781)</f>
        <v>2025</v>
      </c>
      <c r="M781" s="2" t="str">
        <f t="shared" si="25"/>
        <v>26-35</v>
      </c>
    </row>
    <row r="782" spans="1:13" x14ac:dyDescent="0.25">
      <c r="A782" s="2">
        <v>781</v>
      </c>
      <c r="B782" s="1">
        <v>45943</v>
      </c>
      <c r="C782" t="s">
        <v>426</v>
      </c>
      <c r="D782" t="s">
        <v>12</v>
      </c>
      <c r="E782">
        <v>24</v>
      </c>
      <c r="F782" s="2" t="s">
        <v>10</v>
      </c>
      <c r="G782" s="2">
        <v>1</v>
      </c>
      <c r="H782" s="5">
        <v>500</v>
      </c>
      <c r="I782" s="5">
        <f t="shared" si="24"/>
        <v>500</v>
      </c>
      <c r="J782" s="2" t="str">
        <f>TEXT([1]retail_sales_cleaned_dataset!B782,"mmmm")</f>
        <v>October</v>
      </c>
      <c r="K782" s="2">
        <f>MONTH([1]retail_sales_cleaned_dataset!B782)</f>
        <v>10</v>
      </c>
      <c r="L782" s="2">
        <f>YEAR([1]retail_sales_cleaned_dataset!B782)</f>
        <v>2025</v>
      </c>
      <c r="M782" s="2" t="str">
        <f t="shared" si="25"/>
        <v>18-25</v>
      </c>
    </row>
    <row r="783" spans="1:13" x14ac:dyDescent="0.25">
      <c r="A783" s="2">
        <v>782</v>
      </c>
      <c r="B783" s="1">
        <v>45944</v>
      </c>
      <c r="C783" t="s">
        <v>559</v>
      </c>
      <c r="D783" t="s">
        <v>12</v>
      </c>
      <c r="E783">
        <v>27</v>
      </c>
      <c r="F783" s="2" t="s">
        <v>13</v>
      </c>
      <c r="G783" s="2">
        <v>3</v>
      </c>
      <c r="H783" s="5">
        <v>300</v>
      </c>
      <c r="I783" s="5">
        <f t="shared" si="24"/>
        <v>900</v>
      </c>
      <c r="J783" s="2" t="str">
        <f>TEXT([1]retail_sales_cleaned_dataset!B783,"mmmm")</f>
        <v>October</v>
      </c>
      <c r="K783" s="2">
        <f>MONTH([1]retail_sales_cleaned_dataset!B783)</f>
        <v>10</v>
      </c>
      <c r="L783" s="2">
        <f>YEAR([1]retail_sales_cleaned_dataset!B783)</f>
        <v>2025</v>
      </c>
      <c r="M783" s="2" t="str">
        <f t="shared" si="25"/>
        <v>26-35</v>
      </c>
    </row>
    <row r="784" spans="1:13" x14ac:dyDescent="0.25">
      <c r="A784" s="2">
        <v>783</v>
      </c>
      <c r="B784" s="1">
        <v>45944</v>
      </c>
      <c r="C784" t="s">
        <v>560</v>
      </c>
      <c r="D784" t="s">
        <v>12</v>
      </c>
      <c r="E784">
        <v>24</v>
      </c>
      <c r="F784" s="2" t="s">
        <v>13</v>
      </c>
      <c r="G784" s="2">
        <v>1</v>
      </c>
      <c r="H784" s="5">
        <v>300</v>
      </c>
      <c r="I784" s="5">
        <f t="shared" si="24"/>
        <v>300</v>
      </c>
      <c r="J784" s="2" t="str">
        <f>TEXT([1]retail_sales_cleaned_dataset!B784,"mmmm")</f>
        <v>October</v>
      </c>
      <c r="K784" s="2">
        <f>MONTH([1]retail_sales_cleaned_dataset!B784)</f>
        <v>10</v>
      </c>
      <c r="L784" s="2">
        <f>YEAR([1]retail_sales_cleaned_dataset!B784)</f>
        <v>2025</v>
      </c>
      <c r="M784" s="2" t="str">
        <f t="shared" si="25"/>
        <v>18-25</v>
      </c>
    </row>
    <row r="785" spans="1:13" x14ac:dyDescent="0.25">
      <c r="A785" s="2">
        <v>784</v>
      </c>
      <c r="B785" s="1">
        <v>45945</v>
      </c>
      <c r="C785" t="s">
        <v>561</v>
      </c>
      <c r="D785" t="s">
        <v>9</v>
      </c>
      <c r="E785">
        <v>50</v>
      </c>
      <c r="F785" s="2" t="s">
        <v>15</v>
      </c>
      <c r="G785" s="2">
        <v>1</v>
      </c>
      <c r="H785" s="5">
        <v>500</v>
      </c>
      <c r="I785" s="5">
        <f t="shared" si="24"/>
        <v>500</v>
      </c>
      <c r="J785" s="2" t="str">
        <f>TEXT([1]retail_sales_cleaned_dataset!B785,"mmmm")</f>
        <v>October</v>
      </c>
      <c r="K785" s="2">
        <f>MONTH([1]retail_sales_cleaned_dataset!B785)</f>
        <v>10</v>
      </c>
      <c r="L785" s="2">
        <f>YEAR([1]retail_sales_cleaned_dataset!B785)</f>
        <v>2025</v>
      </c>
      <c r="M785" s="2" t="str">
        <f t="shared" si="25"/>
        <v>46+</v>
      </c>
    </row>
    <row r="786" spans="1:13" x14ac:dyDescent="0.25">
      <c r="A786" s="2">
        <v>785</v>
      </c>
      <c r="B786" s="1">
        <v>45945</v>
      </c>
      <c r="C786" t="s">
        <v>562</v>
      </c>
      <c r="D786" t="s">
        <v>12</v>
      </c>
      <c r="E786">
        <v>40</v>
      </c>
      <c r="F786" s="2" t="s">
        <v>10</v>
      </c>
      <c r="G786" s="2">
        <v>4</v>
      </c>
      <c r="H786" s="5">
        <v>50</v>
      </c>
      <c r="I786" s="5">
        <f t="shared" si="24"/>
        <v>200</v>
      </c>
      <c r="J786" s="2" t="str">
        <f>TEXT([1]retail_sales_cleaned_dataset!B786,"mmmm")</f>
        <v>October</v>
      </c>
      <c r="K786" s="2">
        <f>MONTH([1]retail_sales_cleaned_dataset!B786)</f>
        <v>10</v>
      </c>
      <c r="L786" s="2">
        <f>YEAR([1]retail_sales_cleaned_dataset!B786)</f>
        <v>2025</v>
      </c>
      <c r="M786" s="2" t="str">
        <f t="shared" si="25"/>
        <v>36-45</v>
      </c>
    </row>
    <row r="787" spans="1:13" x14ac:dyDescent="0.25">
      <c r="A787" s="2">
        <v>786</v>
      </c>
      <c r="B787" s="1">
        <v>45945</v>
      </c>
      <c r="C787" t="s">
        <v>563</v>
      </c>
      <c r="D787" t="s">
        <v>9</v>
      </c>
      <c r="E787">
        <v>38</v>
      </c>
      <c r="F787" s="2" t="s">
        <v>13</v>
      </c>
      <c r="G787" s="2">
        <v>4</v>
      </c>
      <c r="H787" s="5">
        <v>25</v>
      </c>
      <c r="I787" s="5">
        <f t="shared" si="24"/>
        <v>100</v>
      </c>
      <c r="J787" s="2" t="str">
        <f>TEXT([1]retail_sales_cleaned_dataset!B787,"mmmm")</f>
        <v>October</v>
      </c>
      <c r="K787" s="2">
        <f>MONTH([1]retail_sales_cleaned_dataset!B787)</f>
        <v>10</v>
      </c>
      <c r="L787" s="2">
        <f>YEAR([1]retail_sales_cleaned_dataset!B787)</f>
        <v>2025</v>
      </c>
      <c r="M787" s="2" t="str">
        <f t="shared" si="25"/>
        <v>36-45</v>
      </c>
    </row>
    <row r="788" spans="1:13" x14ac:dyDescent="0.25">
      <c r="A788" s="2">
        <v>787</v>
      </c>
      <c r="B788" s="1">
        <v>45946</v>
      </c>
      <c r="C788" t="s">
        <v>564</v>
      </c>
      <c r="D788" t="s">
        <v>12</v>
      </c>
      <c r="E788">
        <v>36</v>
      </c>
      <c r="F788" s="2" t="s">
        <v>15</v>
      </c>
      <c r="G788" s="2">
        <v>1</v>
      </c>
      <c r="H788" s="5">
        <v>25</v>
      </c>
      <c r="I788" s="5">
        <f t="shared" si="24"/>
        <v>25</v>
      </c>
      <c r="J788" s="2" t="str">
        <f>TEXT([1]retail_sales_cleaned_dataset!B788,"mmmm")</f>
        <v>October</v>
      </c>
      <c r="K788" s="2">
        <f>MONTH([1]retail_sales_cleaned_dataset!B788)</f>
        <v>10</v>
      </c>
      <c r="L788" s="2">
        <f>YEAR([1]retail_sales_cleaned_dataset!B788)</f>
        <v>2025</v>
      </c>
      <c r="M788" s="2" t="str">
        <f t="shared" si="25"/>
        <v>36-45</v>
      </c>
    </row>
    <row r="789" spans="1:13" x14ac:dyDescent="0.25">
      <c r="A789" s="2">
        <v>788</v>
      </c>
      <c r="B789" s="1">
        <v>45946</v>
      </c>
      <c r="C789" t="s">
        <v>565</v>
      </c>
      <c r="D789" t="s">
        <v>9</v>
      </c>
      <c r="E789">
        <v>36</v>
      </c>
      <c r="F789" s="2" t="s">
        <v>10</v>
      </c>
      <c r="G789" s="2">
        <v>3</v>
      </c>
      <c r="H789" s="5">
        <v>300</v>
      </c>
      <c r="I789" s="5">
        <f t="shared" si="24"/>
        <v>900</v>
      </c>
      <c r="J789" s="2" t="str">
        <f>TEXT([1]retail_sales_cleaned_dataset!B789,"mmmm")</f>
        <v>October</v>
      </c>
      <c r="K789" s="2">
        <f>MONTH([1]retail_sales_cleaned_dataset!B789)</f>
        <v>10</v>
      </c>
      <c r="L789" s="2">
        <f>YEAR([1]retail_sales_cleaned_dataset!B789)</f>
        <v>2025</v>
      </c>
      <c r="M789" s="2" t="str">
        <f t="shared" si="25"/>
        <v>36-45</v>
      </c>
    </row>
    <row r="790" spans="1:13" x14ac:dyDescent="0.25">
      <c r="A790" s="2">
        <v>789</v>
      </c>
      <c r="B790" s="1">
        <v>45946</v>
      </c>
      <c r="C790" t="s">
        <v>566</v>
      </c>
      <c r="D790" t="s">
        <v>9</v>
      </c>
      <c r="E790">
        <v>53</v>
      </c>
      <c r="F790" s="2" t="s">
        <v>13</v>
      </c>
      <c r="G790" s="2">
        <v>4</v>
      </c>
      <c r="H790" s="5">
        <v>500</v>
      </c>
      <c r="I790" s="5">
        <f t="shared" si="24"/>
        <v>2000</v>
      </c>
      <c r="J790" s="2" t="str">
        <f>TEXT([1]retail_sales_cleaned_dataset!B790,"mmmm")</f>
        <v>October</v>
      </c>
      <c r="K790" s="2">
        <f>MONTH([1]retail_sales_cleaned_dataset!B790)</f>
        <v>10</v>
      </c>
      <c r="L790" s="2">
        <f>YEAR([1]retail_sales_cleaned_dataset!B790)</f>
        <v>2025</v>
      </c>
      <c r="M790" s="2" t="str">
        <f t="shared" si="25"/>
        <v>46+</v>
      </c>
    </row>
    <row r="791" spans="1:13" x14ac:dyDescent="0.25">
      <c r="A791" s="2">
        <v>790</v>
      </c>
      <c r="B791" s="1">
        <v>45946</v>
      </c>
      <c r="C791" t="s">
        <v>567</v>
      </c>
      <c r="D791" t="s">
        <v>12</v>
      </c>
      <c r="E791">
        <v>46</v>
      </c>
      <c r="F791" s="2" t="s">
        <v>13</v>
      </c>
      <c r="G791" s="2">
        <v>1</v>
      </c>
      <c r="H791" s="5">
        <v>25</v>
      </c>
      <c r="I791" s="5">
        <f t="shared" si="24"/>
        <v>25</v>
      </c>
      <c r="J791" s="2" t="str">
        <f>TEXT([1]retail_sales_cleaned_dataset!B791,"mmmm")</f>
        <v>October</v>
      </c>
      <c r="K791" s="2">
        <f>MONTH([1]retail_sales_cleaned_dataset!B791)</f>
        <v>10</v>
      </c>
      <c r="L791" s="2">
        <f>YEAR([1]retail_sales_cleaned_dataset!B791)</f>
        <v>2025</v>
      </c>
      <c r="M791" s="2" t="str">
        <f t="shared" si="25"/>
        <v>46+</v>
      </c>
    </row>
    <row r="792" spans="1:13" x14ac:dyDescent="0.25">
      <c r="A792" s="2">
        <v>791</v>
      </c>
      <c r="B792" s="1">
        <v>45947</v>
      </c>
      <c r="C792" t="s">
        <v>568</v>
      </c>
      <c r="D792" t="s">
        <v>9</v>
      </c>
      <c r="E792">
        <v>35</v>
      </c>
      <c r="F792" s="2" t="s">
        <v>10</v>
      </c>
      <c r="G792" s="2">
        <v>1</v>
      </c>
      <c r="H792" s="5">
        <v>25</v>
      </c>
      <c r="I792" s="5">
        <f t="shared" si="24"/>
        <v>25</v>
      </c>
      <c r="J792" s="2" t="str">
        <f>TEXT([1]retail_sales_cleaned_dataset!B792,"mmmm")</f>
        <v>October</v>
      </c>
      <c r="K792" s="2">
        <f>MONTH([1]retail_sales_cleaned_dataset!B792)</f>
        <v>10</v>
      </c>
      <c r="L792" s="2">
        <f>YEAR([1]retail_sales_cleaned_dataset!B792)</f>
        <v>2025</v>
      </c>
      <c r="M792" s="2" t="str">
        <f t="shared" si="25"/>
        <v>26-35</v>
      </c>
    </row>
    <row r="793" spans="1:13" x14ac:dyDescent="0.25">
      <c r="A793" s="2">
        <v>792</v>
      </c>
      <c r="B793" s="1">
        <v>45947</v>
      </c>
      <c r="C793" t="s">
        <v>569</v>
      </c>
      <c r="D793" t="s">
        <v>12</v>
      </c>
      <c r="E793">
        <v>19</v>
      </c>
      <c r="F793" s="2" t="s">
        <v>10</v>
      </c>
      <c r="G793" s="2">
        <v>1</v>
      </c>
      <c r="H793" s="5">
        <v>50</v>
      </c>
      <c r="I793" s="5">
        <f t="shared" si="24"/>
        <v>50</v>
      </c>
      <c r="J793" s="2" t="str">
        <f>TEXT([1]retail_sales_cleaned_dataset!B793,"mmmm")</f>
        <v>October</v>
      </c>
      <c r="K793" s="2">
        <f>MONTH([1]retail_sales_cleaned_dataset!B793)</f>
        <v>10</v>
      </c>
      <c r="L793" s="2">
        <f>YEAR([1]retail_sales_cleaned_dataset!B793)</f>
        <v>2025</v>
      </c>
      <c r="M793" s="2" t="str">
        <f t="shared" si="25"/>
        <v>18-25</v>
      </c>
    </row>
    <row r="794" spans="1:13" x14ac:dyDescent="0.25">
      <c r="A794" s="2">
        <v>793</v>
      </c>
      <c r="B794" s="1">
        <v>45948</v>
      </c>
      <c r="C794" t="s">
        <v>570</v>
      </c>
      <c r="D794" t="s">
        <v>12</v>
      </c>
      <c r="E794">
        <v>18</v>
      </c>
      <c r="F794" s="2" t="s">
        <v>10</v>
      </c>
      <c r="G794" s="2">
        <v>1</v>
      </c>
      <c r="H794" s="5">
        <v>30</v>
      </c>
      <c r="I794" s="5">
        <f t="shared" si="24"/>
        <v>30</v>
      </c>
      <c r="J794" s="2" t="str">
        <f>TEXT([1]retail_sales_cleaned_dataset!B794,"mmmm")</f>
        <v>October</v>
      </c>
      <c r="K794" s="2">
        <f>MONTH([1]retail_sales_cleaned_dataset!B794)</f>
        <v>10</v>
      </c>
      <c r="L794" s="2">
        <f>YEAR([1]retail_sales_cleaned_dataset!B794)</f>
        <v>2025</v>
      </c>
      <c r="M794" s="2" t="str">
        <f t="shared" si="25"/>
        <v>18-25</v>
      </c>
    </row>
    <row r="795" spans="1:13" x14ac:dyDescent="0.25">
      <c r="A795" s="2">
        <v>794</v>
      </c>
      <c r="B795" s="1">
        <v>45948</v>
      </c>
      <c r="C795" t="s">
        <v>571</v>
      </c>
      <c r="D795" t="s">
        <v>12</v>
      </c>
      <c r="E795">
        <v>64</v>
      </c>
      <c r="F795" s="2" t="s">
        <v>10</v>
      </c>
      <c r="G795" s="2">
        <v>6</v>
      </c>
      <c r="H795" s="5">
        <v>300</v>
      </c>
      <c r="I795" s="5">
        <f t="shared" si="24"/>
        <v>1800</v>
      </c>
      <c r="J795" s="2" t="str">
        <f>TEXT([1]retail_sales_cleaned_dataset!B795,"mmmm")</f>
        <v>October</v>
      </c>
      <c r="K795" s="2">
        <f>MONTH([1]retail_sales_cleaned_dataset!B795)</f>
        <v>10</v>
      </c>
      <c r="L795" s="2">
        <f>YEAR([1]retail_sales_cleaned_dataset!B795)</f>
        <v>2025</v>
      </c>
      <c r="M795" s="2" t="str">
        <f t="shared" si="25"/>
        <v>46+</v>
      </c>
    </row>
    <row r="796" spans="1:13" x14ac:dyDescent="0.25">
      <c r="A796" s="2">
        <v>795</v>
      </c>
      <c r="B796" s="1">
        <v>45949</v>
      </c>
      <c r="C796" t="s">
        <v>572</v>
      </c>
      <c r="D796" t="s">
        <v>9</v>
      </c>
      <c r="E796">
        <v>22</v>
      </c>
      <c r="F796" s="2" t="s">
        <v>15</v>
      </c>
      <c r="G796" s="2">
        <v>1</v>
      </c>
      <c r="H796" s="5">
        <v>300</v>
      </c>
      <c r="I796" s="5">
        <f t="shared" si="24"/>
        <v>300</v>
      </c>
      <c r="J796" s="2" t="str">
        <f>TEXT([1]retail_sales_cleaned_dataset!B796,"mmmm")</f>
        <v>October</v>
      </c>
      <c r="K796" s="2">
        <f>MONTH([1]retail_sales_cleaned_dataset!B796)</f>
        <v>10</v>
      </c>
      <c r="L796" s="2">
        <f>YEAR([1]retail_sales_cleaned_dataset!B796)</f>
        <v>2025</v>
      </c>
      <c r="M796" s="2" t="str">
        <f t="shared" si="25"/>
        <v>18-25</v>
      </c>
    </row>
    <row r="797" spans="1:13" x14ac:dyDescent="0.25">
      <c r="A797" s="2">
        <v>796</v>
      </c>
      <c r="B797" s="1">
        <v>45949</v>
      </c>
      <c r="C797" t="s">
        <v>573</v>
      </c>
      <c r="D797" t="s">
        <v>9</v>
      </c>
      <c r="E797">
        <v>37</v>
      </c>
      <c r="F797" s="2" t="s">
        <v>10</v>
      </c>
      <c r="G797" s="2">
        <v>4</v>
      </c>
      <c r="H797" s="5">
        <v>30</v>
      </c>
      <c r="I797" s="5">
        <f t="shared" si="24"/>
        <v>120</v>
      </c>
      <c r="J797" s="2" t="str">
        <f>TEXT([1]retail_sales_cleaned_dataset!B797,"mmmm")</f>
        <v>October</v>
      </c>
      <c r="K797" s="2">
        <f>MONTH([1]retail_sales_cleaned_dataset!B797)</f>
        <v>10</v>
      </c>
      <c r="L797" s="2">
        <f>YEAR([1]retail_sales_cleaned_dataset!B797)</f>
        <v>2025</v>
      </c>
      <c r="M797" s="2" t="str">
        <f t="shared" si="25"/>
        <v>36-45</v>
      </c>
    </row>
    <row r="798" spans="1:13" x14ac:dyDescent="0.25">
      <c r="A798" s="2">
        <v>797</v>
      </c>
      <c r="B798" s="1">
        <v>45949</v>
      </c>
      <c r="C798" t="s">
        <v>574</v>
      </c>
      <c r="D798" t="s">
        <v>12</v>
      </c>
      <c r="E798">
        <v>28</v>
      </c>
      <c r="F798" s="2" t="s">
        <v>13</v>
      </c>
      <c r="G798" s="2">
        <v>3</v>
      </c>
      <c r="H798" s="5">
        <v>25</v>
      </c>
      <c r="I798" s="5">
        <f t="shared" si="24"/>
        <v>75</v>
      </c>
      <c r="J798" s="2" t="str">
        <f>TEXT([1]retail_sales_cleaned_dataset!B798,"mmmm")</f>
        <v>October</v>
      </c>
      <c r="K798" s="2">
        <f>MONTH([1]retail_sales_cleaned_dataset!B798)</f>
        <v>10</v>
      </c>
      <c r="L798" s="2">
        <f>YEAR([1]retail_sales_cleaned_dataset!B798)</f>
        <v>2025</v>
      </c>
      <c r="M798" s="2" t="str">
        <f t="shared" si="25"/>
        <v>26-35</v>
      </c>
    </row>
    <row r="799" spans="1:13" x14ac:dyDescent="0.25">
      <c r="A799" s="2">
        <v>798</v>
      </c>
      <c r="B799" s="1">
        <v>45949</v>
      </c>
      <c r="C799" t="s">
        <v>575</v>
      </c>
      <c r="D799" t="s">
        <v>12</v>
      </c>
      <c r="E799">
        <v>59</v>
      </c>
      <c r="F799" s="2" t="s">
        <v>13</v>
      </c>
      <c r="G799" s="2">
        <v>1</v>
      </c>
      <c r="H799" s="5">
        <v>50</v>
      </c>
      <c r="I799" s="5">
        <f t="shared" si="24"/>
        <v>50</v>
      </c>
      <c r="J799" s="2" t="str">
        <f>TEXT([1]retail_sales_cleaned_dataset!B799,"mmmm")</f>
        <v>October</v>
      </c>
      <c r="K799" s="2">
        <f>MONTH([1]retail_sales_cleaned_dataset!B799)</f>
        <v>10</v>
      </c>
      <c r="L799" s="2">
        <f>YEAR([1]retail_sales_cleaned_dataset!B799)</f>
        <v>2025</v>
      </c>
      <c r="M799" s="2" t="str">
        <f t="shared" si="25"/>
        <v>46+</v>
      </c>
    </row>
    <row r="800" spans="1:13" x14ac:dyDescent="0.25">
      <c r="A800" s="2">
        <v>799</v>
      </c>
      <c r="B800" s="1">
        <v>45950</v>
      </c>
      <c r="C800" t="s">
        <v>576</v>
      </c>
      <c r="D800" t="s">
        <v>9</v>
      </c>
      <c r="E800">
        <v>19</v>
      </c>
      <c r="F800" s="2" t="s">
        <v>15</v>
      </c>
      <c r="G800" s="2">
        <v>2</v>
      </c>
      <c r="H800" s="5">
        <v>50</v>
      </c>
      <c r="I800" s="5">
        <f t="shared" si="24"/>
        <v>100</v>
      </c>
      <c r="J800" s="2" t="str">
        <f>TEXT([1]retail_sales_cleaned_dataset!B800,"mmmm")</f>
        <v>October</v>
      </c>
      <c r="K800" s="2">
        <f>MONTH([1]retail_sales_cleaned_dataset!B800)</f>
        <v>10</v>
      </c>
      <c r="L800" s="2">
        <f>YEAR([1]retail_sales_cleaned_dataset!B800)</f>
        <v>2025</v>
      </c>
      <c r="M800" s="2" t="str">
        <f t="shared" si="25"/>
        <v>18-25</v>
      </c>
    </row>
    <row r="801" spans="1:13" x14ac:dyDescent="0.25">
      <c r="A801" s="2">
        <v>800</v>
      </c>
      <c r="B801" s="1">
        <v>45951</v>
      </c>
      <c r="C801" t="s">
        <v>577</v>
      </c>
      <c r="D801" t="s">
        <v>12</v>
      </c>
      <c r="E801">
        <v>20</v>
      </c>
      <c r="F801" s="2" t="s">
        <v>13</v>
      </c>
      <c r="G801" s="2">
        <v>4</v>
      </c>
      <c r="H801" s="5">
        <v>300</v>
      </c>
      <c r="I801" s="5">
        <f t="shared" si="24"/>
        <v>1200</v>
      </c>
      <c r="J801" s="2" t="str">
        <f>TEXT([1]retail_sales_cleaned_dataset!B801,"mmmm")</f>
        <v>October</v>
      </c>
      <c r="K801" s="2">
        <f>MONTH([1]retail_sales_cleaned_dataset!B801)</f>
        <v>10</v>
      </c>
      <c r="L801" s="2">
        <f>YEAR([1]retail_sales_cleaned_dataset!B801)</f>
        <v>2025</v>
      </c>
      <c r="M801" s="2" t="str">
        <f t="shared" si="25"/>
        <v>18-25</v>
      </c>
    </row>
    <row r="802" spans="1:13" x14ac:dyDescent="0.25">
      <c r="A802" s="2">
        <v>801</v>
      </c>
      <c r="B802" s="1">
        <v>45952</v>
      </c>
      <c r="C802" t="s">
        <v>578</v>
      </c>
      <c r="D802" t="s">
        <v>12</v>
      </c>
      <c r="E802">
        <v>40</v>
      </c>
      <c r="F802" s="2" t="s">
        <v>13</v>
      </c>
      <c r="G802" s="2">
        <v>4</v>
      </c>
      <c r="H802" s="5">
        <v>50</v>
      </c>
      <c r="I802" s="5">
        <f t="shared" si="24"/>
        <v>200</v>
      </c>
      <c r="J802" s="2" t="str">
        <f>TEXT([1]retail_sales_cleaned_dataset!B802,"mmmm")</f>
        <v>October</v>
      </c>
      <c r="K802" s="2">
        <f>MONTH([1]retail_sales_cleaned_dataset!B802)</f>
        <v>10</v>
      </c>
      <c r="L802" s="2">
        <f>YEAR([1]retail_sales_cleaned_dataset!B802)</f>
        <v>2025</v>
      </c>
      <c r="M802" s="2" t="str">
        <f t="shared" si="25"/>
        <v>36-45</v>
      </c>
    </row>
    <row r="803" spans="1:13" x14ac:dyDescent="0.25">
      <c r="A803" s="2">
        <v>802</v>
      </c>
      <c r="B803" s="1">
        <v>45952</v>
      </c>
      <c r="C803" t="s">
        <v>579</v>
      </c>
      <c r="D803" t="s">
        <v>12</v>
      </c>
      <c r="E803">
        <v>29</v>
      </c>
      <c r="F803" s="2" t="s">
        <v>10</v>
      </c>
      <c r="G803" s="2">
        <v>1</v>
      </c>
      <c r="H803" s="5">
        <v>30</v>
      </c>
      <c r="I803" s="5">
        <f t="shared" si="24"/>
        <v>30</v>
      </c>
      <c r="J803" s="2" t="str">
        <f>TEXT([1]retail_sales_cleaned_dataset!B803,"mmmm")</f>
        <v>October</v>
      </c>
      <c r="K803" s="2">
        <f>MONTH([1]retail_sales_cleaned_dataset!B803)</f>
        <v>10</v>
      </c>
      <c r="L803" s="2">
        <f>YEAR([1]retail_sales_cleaned_dataset!B803)</f>
        <v>2025</v>
      </c>
      <c r="M803" s="2" t="str">
        <f t="shared" si="25"/>
        <v>26-35</v>
      </c>
    </row>
    <row r="804" spans="1:13" x14ac:dyDescent="0.25">
      <c r="A804" s="2">
        <v>803</v>
      </c>
      <c r="B804" s="1">
        <v>45952</v>
      </c>
      <c r="C804" t="s">
        <v>580</v>
      </c>
      <c r="D804" t="s">
        <v>9</v>
      </c>
      <c r="E804">
        <v>37</v>
      </c>
      <c r="F804" s="2" t="s">
        <v>13</v>
      </c>
      <c r="G804" s="2">
        <v>4</v>
      </c>
      <c r="H804" s="5">
        <v>25</v>
      </c>
      <c r="I804" s="5">
        <f t="shared" si="24"/>
        <v>100</v>
      </c>
      <c r="J804" s="2" t="str">
        <f>TEXT([1]retail_sales_cleaned_dataset!B804,"mmmm")</f>
        <v>October</v>
      </c>
      <c r="K804" s="2">
        <f>MONTH([1]retail_sales_cleaned_dataset!B804)</f>
        <v>10</v>
      </c>
      <c r="L804" s="2">
        <f>YEAR([1]retail_sales_cleaned_dataset!B804)</f>
        <v>2025</v>
      </c>
      <c r="M804" s="2" t="str">
        <f t="shared" si="25"/>
        <v>36-45</v>
      </c>
    </row>
    <row r="805" spans="1:13" x14ac:dyDescent="0.25">
      <c r="A805" s="2">
        <v>804</v>
      </c>
      <c r="B805" s="1">
        <v>45953</v>
      </c>
      <c r="C805" t="s">
        <v>581</v>
      </c>
      <c r="D805" t="s">
        <v>9</v>
      </c>
      <c r="E805">
        <v>22</v>
      </c>
      <c r="F805" s="2" t="s">
        <v>15</v>
      </c>
      <c r="G805" s="2">
        <v>1</v>
      </c>
      <c r="H805" s="5">
        <v>30</v>
      </c>
      <c r="I805" s="5">
        <f t="shared" si="24"/>
        <v>30</v>
      </c>
      <c r="J805" s="2" t="str">
        <f>TEXT([1]retail_sales_cleaned_dataset!B805,"mmmm")</f>
        <v>October</v>
      </c>
      <c r="K805" s="2">
        <f>MONTH([1]retail_sales_cleaned_dataset!B805)</f>
        <v>10</v>
      </c>
      <c r="L805" s="2">
        <f>YEAR([1]retail_sales_cleaned_dataset!B805)</f>
        <v>2025</v>
      </c>
      <c r="M805" s="2" t="str">
        <f t="shared" si="25"/>
        <v>18-25</v>
      </c>
    </row>
    <row r="806" spans="1:13" x14ac:dyDescent="0.25">
      <c r="A806" s="2">
        <v>805</v>
      </c>
      <c r="B806" s="1">
        <v>45953</v>
      </c>
      <c r="C806" t="s">
        <v>582</v>
      </c>
      <c r="D806" t="s">
        <v>9</v>
      </c>
      <c r="E806">
        <v>54</v>
      </c>
      <c r="F806" s="2" t="s">
        <v>10</v>
      </c>
      <c r="G806" s="2">
        <v>3</v>
      </c>
      <c r="H806" s="5">
        <v>500</v>
      </c>
      <c r="I806" s="5">
        <f t="shared" si="24"/>
        <v>1500</v>
      </c>
      <c r="J806" s="2" t="str">
        <f>TEXT([1]retail_sales_cleaned_dataset!B806,"mmmm")</f>
        <v>October</v>
      </c>
      <c r="K806" s="2">
        <f>MONTH([1]retail_sales_cleaned_dataset!B806)</f>
        <v>10</v>
      </c>
      <c r="L806" s="2">
        <f>YEAR([1]retail_sales_cleaned_dataset!B806)</f>
        <v>2025</v>
      </c>
      <c r="M806" s="2" t="str">
        <f t="shared" si="25"/>
        <v>46+</v>
      </c>
    </row>
    <row r="807" spans="1:13" x14ac:dyDescent="0.25">
      <c r="A807" s="2">
        <v>806</v>
      </c>
      <c r="B807" s="1">
        <v>45953</v>
      </c>
      <c r="C807" t="s">
        <v>583</v>
      </c>
      <c r="D807" t="s">
        <v>12</v>
      </c>
      <c r="E807">
        <v>55</v>
      </c>
      <c r="F807" s="2" t="s">
        <v>10</v>
      </c>
      <c r="G807" s="2">
        <v>3</v>
      </c>
      <c r="H807" s="5">
        <v>300</v>
      </c>
      <c r="I807" s="5">
        <f t="shared" si="24"/>
        <v>900</v>
      </c>
      <c r="J807" s="2" t="str">
        <f>TEXT([1]retail_sales_cleaned_dataset!B807,"mmmm")</f>
        <v>October</v>
      </c>
      <c r="K807" s="2">
        <f>MONTH([1]retail_sales_cleaned_dataset!B807)</f>
        <v>10</v>
      </c>
      <c r="L807" s="2">
        <f>YEAR([1]retail_sales_cleaned_dataset!B807)</f>
        <v>2025</v>
      </c>
      <c r="M807" s="2" t="str">
        <f t="shared" si="25"/>
        <v>46+</v>
      </c>
    </row>
    <row r="808" spans="1:13" x14ac:dyDescent="0.25">
      <c r="A808" s="2">
        <v>807</v>
      </c>
      <c r="B808" s="1">
        <v>45953</v>
      </c>
      <c r="C808" t="s">
        <v>584</v>
      </c>
      <c r="D808" t="s">
        <v>12</v>
      </c>
      <c r="E808">
        <v>47</v>
      </c>
      <c r="F808" s="2" t="s">
        <v>15</v>
      </c>
      <c r="G808" s="2">
        <v>4</v>
      </c>
      <c r="H808" s="5">
        <v>50</v>
      </c>
      <c r="I808" s="5">
        <f t="shared" si="24"/>
        <v>200</v>
      </c>
      <c r="J808" s="2" t="str">
        <f>TEXT([1]retail_sales_cleaned_dataset!B808,"mmmm")</f>
        <v>October</v>
      </c>
      <c r="K808" s="2">
        <f>MONTH([1]retail_sales_cleaned_dataset!B808)</f>
        <v>10</v>
      </c>
      <c r="L808" s="2">
        <f>YEAR([1]retail_sales_cleaned_dataset!B808)</f>
        <v>2025</v>
      </c>
      <c r="M808" s="2" t="str">
        <f t="shared" si="25"/>
        <v>46+</v>
      </c>
    </row>
    <row r="809" spans="1:13" x14ac:dyDescent="0.25">
      <c r="A809" s="2">
        <v>808</v>
      </c>
      <c r="B809" s="1">
        <v>45954</v>
      </c>
      <c r="C809" t="s">
        <v>585</v>
      </c>
      <c r="D809" t="s">
        <v>12</v>
      </c>
      <c r="E809">
        <v>26</v>
      </c>
      <c r="F809" s="2" t="s">
        <v>10</v>
      </c>
      <c r="G809" s="2">
        <v>4</v>
      </c>
      <c r="H809" s="5">
        <v>500</v>
      </c>
      <c r="I809" s="5">
        <f t="shared" si="24"/>
        <v>2000</v>
      </c>
      <c r="J809" s="2" t="str">
        <f>TEXT([1]retail_sales_cleaned_dataset!B809,"mmmm")</f>
        <v>October</v>
      </c>
      <c r="K809" s="2">
        <f>MONTH([1]retail_sales_cleaned_dataset!B809)</f>
        <v>10</v>
      </c>
      <c r="L809" s="2">
        <f>YEAR([1]retail_sales_cleaned_dataset!B809)</f>
        <v>2025</v>
      </c>
      <c r="M809" s="2" t="str">
        <f t="shared" si="25"/>
        <v>26-35</v>
      </c>
    </row>
    <row r="810" spans="1:13" x14ac:dyDescent="0.25">
      <c r="A810" s="2">
        <v>809</v>
      </c>
      <c r="B810" s="1">
        <v>45954</v>
      </c>
      <c r="C810" t="s">
        <v>586</v>
      </c>
      <c r="D810" t="s">
        <v>12</v>
      </c>
      <c r="E810">
        <v>43</v>
      </c>
      <c r="F810" s="2" t="s">
        <v>10</v>
      </c>
      <c r="G810" s="2">
        <v>2</v>
      </c>
      <c r="H810" s="5">
        <v>50</v>
      </c>
      <c r="I810" s="5">
        <f t="shared" si="24"/>
        <v>100</v>
      </c>
      <c r="J810" s="2" t="str">
        <f>TEXT([1]retail_sales_cleaned_dataset!B810,"mmmm")</f>
        <v>October</v>
      </c>
      <c r="K810" s="2">
        <f>MONTH([1]retail_sales_cleaned_dataset!B810)</f>
        <v>10</v>
      </c>
      <c r="L810" s="2">
        <f>YEAR([1]retail_sales_cleaned_dataset!B810)</f>
        <v>2025</v>
      </c>
      <c r="M810" s="2" t="str">
        <f t="shared" si="25"/>
        <v>36-45</v>
      </c>
    </row>
    <row r="811" spans="1:13" x14ac:dyDescent="0.25">
      <c r="A811" s="2">
        <v>810</v>
      </c>
      <c r="B811" s="1">
        <v>45954</v>
      </c>
      <c r="C811" t="s">
        <v>587</v>
      </c>
      <c r="D811" t="s">
        <v>9</v>
      </c>
      <c r="E811">
        <v>39</v>
      </c>
      <c r="F811" s="2" t="s">
        <v>15</v>
      </c>
      <c r="G811" s="2">
        <v>4</v>
      </c>
      <c r="H811" s="5">
        <v>25</v>
      </c>
      <c r="I811" s="5">
        <f t="shared" si="24"/>
        <v>100</v>
      </c>
      <c r="J811" s="2" t="str">
        <f>TEXT([1]retail_sales_cleaned_dataset!B811,"mmmm")</f>
        <v>October</v>
      </c>
      <c r="K811" s="2">
        <f>MONTH([1]retail_sales_cleaned_dataset!B811)</f>
        <v>10</v>
      </c>
      <c r="L811" s="2">
        <f>YEAR([1]retail_sales_cleaned_dataset!B811)</f>
        <v>2025</v>
      </c>
      <c r="M811" s="2" t="str">
        <f t="shared" si="25"/>
        <v>36-45</v>
      </c>
    </row>
    <row r="812" spans="1:13" x14ac:dyDescent="0.25">
      <c r="A812" s="2">
        <v>811</v>
      </c>
      <c r="B812" s="1">
        <v>45954</v>
      </c>
      <c r="C812" t="s">
        <v>588</v>
      </c>
      <c r="D812" t="s">
        <v>12</v>
      </c>
      <c r="E812">
        <v>64</v>
      </c>
      <c r="F812" s="2" t="s">
        <v>10</v>
      </c>
      <c r="G812" s="2">
        <v>2</v>
      </c>
      <c r="H812" s="5">
        <v>25</v>
      </c>
      <c r="I812" s="5">
        <f t="shared" si="24"/>
        <v>50</v>
      </c>
      <c r="J812" s="2" t="str">
        <f>TEXT([1]retail_sales_cleaned_dataset!B812,"mmmm")</f>
        <v>October</v>
      </c>
      <c r="K812" s="2">
        <f>MONTH([1]retail_sales_cleaned_dataset!B812)</f>
        <v>10</v>
      </c>
      <c r="L812" s="2">
        <f>YEAR([1]retail_sales_cleaned_dataset!B812)</f>
        <v>2025</v>
      </c>
      <c r="M812" s="2" t="str">
        <f t="shared" si="25"/>
        <v>46+</v>
      </c>
    </row>
    <row r="813" spans="1:13" x14ac:dyDescent="0.25">
      <c r="A813" s="2">
        <v>812</v>
      </c>
      <c r="B813" s="1">
        <v>45955</v>
      </c>
      <c r="C813" t="s">
        <v>589</v>
      </c>
      <c r="D813" t="s">
        <v>12</v>
      </c>
      <c r="E813">
        <v>60</v>
      </c>
      <c r="F813" s="2" t="s">
        <v>15</v>
      </c>
      <c r="G813" s="2">
        <v>3</v>
      </c>
      <c r="H813" s="5">
        <v>25</v>
      </c>
      <c r="I813" s="5">
        <f t="shared" si="24"/>
        <v>75</v>
      </c>
      <c r="J813" s="2" t="str">
        <f>TEXT([1]retail_sales_cleaned_dataset!B813,"mmmm")</f>
        <v>October</v>
      </c>
      <c r="K813" s="2">
        <f>MONTH([1]retail_sales_cleaned_dataset!B813)</f>
        <v>10</v>
      </c>
      <c r="L813" s="2">
        <f>YEAR([1]retail_sales_cleaned_dataset!B813)</f>
        <v>2025</v>
      </c>
      <c r="M813" s="2" t="str">
        <f t="shared" si="25"/>
        <v>46+</v>
      </c>
    </row>
    <row r="814" spans="1:13" x14ac:dyDescent="0.25">
      <c r="A814" s="2">
        <v>813</v>
      </c>
      <c r="B814" s="1">
        <v>45955</v>
      </c>
      <c r="C814" t="s">
        <v>590</v>
      </c>
      <c r="D814" t="s">
        <v>9</v>
      </c>
      <c r="E814">
        <v>34</v>
      </c>
      <c r="F814" s="2" t="s">
        <v>15</v>
      </c>
      <c r="G814" s="2">
        <v>3</v>
      </c>
      <c r="H814" s="5">
        <v>50</v>
      </c>
      <c r="I814" s="5">
        <f t="shared" si="24"/>
        <v>150</v>
      </c>
      <c r="J814" s="2" t="str">
        <f>TEXT([1]retail_sales_cleaned_dataset!B814,"mmmm")</f>
        <v>October</v>
      </c>
      <c r="K814" s="2">
        <f>MONTH([1]retail_sales_cleaned_dataset!B814)</f>
        <v>10</v>
      </c>
      <c r="L814" s="2">
        <f>YEAR([1]retail_sales_cleaned_dataset!B814)</f>
        <v>2025</v>
      </c>
      <c r="M814" s="2" t="str">
        <f t="shared" si="25"/>
        <v>26-35</v>
      </c>
    </row>
    <row r="815" spans="1:13" x14ac:dyDescent="0.25">
      <c r="A815" s="2">
        <v>814</v>
      </c>
      <c r="B815" s="1">
        <v>45956</v>
      </c>
      <c r="C815" t="s">
        <v>591</v>
      </c>
      <c r="D815" t="s">
        <v>12</v>
      </c>
      <c r="E815">
        <v>43</v>
      </c>
      <c r="F815" s="2" t="s">
        <v>13</v>
      </c>
      <c r="G815" s="2">
        <v>1</v>
      </c>
      <c r="H815" s="5">
        <v>500</v>
      </c>
      <c r="I815" s="5">
        <f t="shared" si="24"/>
        <v>500</v>
      </c>
      <c r="J815" s="2" t="str">
        <f>TEXT([1]retail_sales_cleaned_dataset!B815,"mmmm")</f>
        <v>October</v>
      </c>
      <c r="K815" s="2">
        <f>MONTH([1]retail_sales_cleaned_dataset!B815)</f>
        <v>10</v>
      </c>
      <c r="L815" s="2">
        <f>YEAR([1]retail_sales_cleaned_dataset!B815)</f>
        <v>2025</v>
      </c>
      <c r="M815" s="2" t="str">
        <f t="shared" si="25"/>
        <v>36-45</v>
      </c>
    </row>
    <row r="816" spans="1:13" x14ac:dyDescent="0.25">
      <c r="A816" s="2">
        <v>815</v>
      </c>
      <c r="B816" s="1">
        <v>45956</v>
      </c>
      <c r="C816" t="s">
        <v>592</v>
      </c>
      <c r="D816" t="s">
        <v>9</v>
      </c>
      <c r="E816">
        <v>53</v>
      </c>
      <c r="F816" s="2" t="s">
        <v>13</v>
      </c>
      <c r="G816" s="2">
        <v>3</v>
      </c>
      <c r="H816" s="5">
        <v>25</v>
      </c>
      <c r="I816" s="5">
        <f t="shared" si="24"/>
        <v>75</v>
      </c>
      <c r="J816" s="2" t="str">
        <f>TEXT([1]retail_sales_cleaned_dataset!B816,"mmmm")</f>
        <v>October</v>
      </c>
      <c r="K816" s="2">
        <f>MONTH([1]retail_sales_cleaned_dataset!B816)</f>
        <v>10</v>
      </c>
      <c r="L816" s="2">
        <f>YEAR([1]retail_sales_cleaned_dataset!B816)</f>
        <v>2025</v>
      </c>
      <c r="M816" s="2" t="str">
        <f t="shared" si="25"/>
        <v>46+</v>
      </c>
    </row>
    <row r="817" spans="1:13" x14ac:dyDescent="0.25">
      <c r="A817" s="2">
        <v>816</v>
      </c>
      <c r="B817" s="1">
        <v>45956</v>
      </c>
      <c r="C817" t="s">
        <v>593</v>
      </c>
      <c r="D817" t="s">
        <v>12</v>
      </c>
      <c r="E817">
        <v>25</v>
      </c>
      <c r="F817" s="2" t="s">
        <v>10</v>
      </c>
      <c r="G817" s="2">
        <v>2</v>
      </c>
      <c r="H817" s="5">
        <v>500</v>
      </c>
      <c r="I817" s="5">
        <f t="shared" si="24"/>
        <v>1000</v>
      </c>
      <c r="J817" s="2" t="str">
        <f>TEXT([1]retail_sales_cleaned_dataset!B817,"mmmm")</f>
        <v>October</v>
      </c>
      <c r="K817" s="2">
        <f>MONTH([1]retail_sales_cleaned_dataset!B817)</f>
        <v>10</v>
      </c>
      <c r="L817" s="2">
        <f>YEAR([1]retail_sales_cleaned_dataset!B817)</f>
        <v>2025</v>
      </c>
      <c r="M817" s="2" t="str">
        <f t="shared" si="25"/>
        <v>18-25</v>
      </c>
    </row>
    <row r="818" spans="1:13" x14ac:dyDescent="0.25">
      <c r="A818" s="2">
        <v>817</v>
      </c>
      <c r="B818" s="1">
        <v>45957</v>
      </c>
      <c r="C818" t="s">
        <v>594</v>
      </c>
      <c r="D818" t="s">
        <v>12</v>
      </c>
      <c r="E818">
        <v>52</v>
      </c>
      <c r="F818" s="2" t="s">
        <v>10</v>
      </c>
      <c r="G818" s="2">
        <v>4</v>
      </c>
      <c r="H818" s="5">
        <v>50</v>
      </c>
      <c r="I818" s="5">
        <f t="shared" si="24"/>
        <v>200</v>
      </c>
      <c r="J818" s="2" t="str">
        <f>TEXT([1]retail_sales_cleaned_dataset!B818,"mmmm")</f>
        <v>October</v>
      </c>
      <c r="K818" s="2">
        <f>MONTH([1]retail_sales_cleaned_dataset!B818)</f>
        <v>10</v>
      </c>
      <c r="L818" s="2">
        <f>YEAR([1]retail_sales_cleaned_dataset!B818)</f>
        <v>2025</v>
      </c>
      <c r="M818" s="2" t="str">
        <f t="shared" si="25"/>
        <v>46+</v>
      </c>
    </row>
    <row r="819" spans="1:13" x14ac:dyDescent="0.25">
      <c r="A819" s="2">
        <v>818</v>
      </c>
      <c r="B819" s="1">
        <v>45957</v>
      </c>
      <c r="C819" t="s">
        <v>595</v>
      </c>
      <c r="D819" t="s">
        <v>9</v>
      </c>
      <c r="E819">
        <v>40</v>
      </c>
      <c r="F819" s="2" t="s">
        <v>15</v>
      </c>
      <c r="G819" s="2">
        <v>1</v>
      </c>
      <c r="H819" s="5">
        <v>500</v>
      </c>
      <c r="I819" s="5">
        <f t="shared" si="24"/>
        <v>500</v>
      </c>
      <c r="J819" s="2" t="str">
        <f>TEXT([1]retail_sales_cleaned_dataset!B819,"mmmm")</f>
        <v>October</v>
      </c>
      <c r="K819" s="2">
        <f>MONTH([1]retail_sales_cleaned_dataset!B819)</f>
        <v>10</v>
      </c>
      <c r="L819" s="2">
        <f>YEAR([1]retail_sales_cleaned_dataset!B819)</f>
        <v>2025</v>
      </c>
      <c r="M819" s="2" t="str">
        <f t="shared" si="25"/>
        <v>36-45</v>
      </c>
    </row>
    <row r="820" spans="1:13" x14ac:dyDescent="0.25">
      <c r="A820" s="2">
        <v>819</v>
      </c>
      <c r="B820" s="1">
        <v>45957</v>
      </c>
      <c r="C820" t="s">
        <v>596</v>
      </c>
      <c r="D820" t="s">
        <v>9</v>
      </c>
      <c r="E820">
        <v>41</v>
      </c>
      <c r="F820" s="2" t="s">
        <v>10</v>
      </c>
      <c r="G820" s="2">
        <v>2</v>
      </c>
      <c r="H820" s="5">
        <v>50</v>
      </c>
      <c r="I820" s="5">
        <f t="shared" si="24"/>
        <v>100</v>
      </c>
      <c r="J820" s="2" t="str">
        <f>TEXT([1]retail_sales_cleaned_dataset!B820,"mmmm")</f>
        <v>October</v>
      </c>
      <c r="K820" s="2">
        <f>MONTH([1]retail_sales_cleaned_dataset!B820)</f>
        <v>10</v>
      </c>
      <c r="L820" s="2">
        <f>YEAR([1]retail_sales_cleaned_dataset!B820)</f>
        <v>2025</v>
      </c>
      <c r="M820" s="2" t="str">
        <f t="shared" si="25"/>
        <v>36-45</v>
      </c>
    </row>
    <row r="821" spans="1:13" x14ac:dyDescent="0.25">
      <c r="A821" s="2">
        <v>820</v>
      </c>
      <c r="B821" s="1">
        <v>45959</v>
      </c>
      <c r="C821" t="s">
        <v>597</v>
      </c>
      <c r="D821" t="s">
        <v>9</v>
      </c>
      <c r="E821">
        <v>24</v>
      </c>
      <c r="F821" s="2" t="s">
        <v>15</v>
      </c>
      <c r="G821" s="2">
        <v>4</v>
      </c>
      <c r="H821" s="5">
        <v>50</v>
      </c>
      <c r="I821" s="5">
        <f t="shared" si="24"/>
        <v>200</v>
      </c>
      <c r="J821" s="2" t="str">
        <f>TEXT([1]retail_sales_cleaned_dataset!B821,"mmmm")</f>
        <v>October</v>
      </c>
      <c r="K821" s="2">
        <f>MONTH([1]retail_sales_cleaned_dataset!B821)</f>
        <v>10</v>
      </c>
      <c r="L821" s="2">
        <f>YEAR([1]retail_sales_cleaned_dataset!B821)</f>
        <v>2025</v>
      </c>
      <c r="M821" s="2" t="str">
        <f t="shared" si="25"/>
        <v>18-25</v>
      </c>
    </row>
    <row r="822" spans="1:13" x14ac:dyDescent="0.25">
      <c r="A822" s="2">
        <v>821</v>
      </c>
      <c r="B822" s="1">
        <v>45959</v>
      </c>
      <c r="C822" t="s">
        <v>598</v>
      </c>
      <c r="D822" t="s">
        <v>9</v>
      </c>
      <c r="E822">
        <v>20</v>
      </c>
      <c r="F822" s="2" t="s">
        <v>15</v>
      </c>
      <c r="G822" s="2">
        <v>1</v>
      </c>
      <c r="H822" s="5">
        <v>300</v>
      </c>
      <c r="I822" s="5">
        <f t="shared" si="24"/>
        <v>300</v>
      </c>
      <c r="J822" s="2" t="str">
        <f>TEXT([1]retail_sales_cleaned_dataset!B822,"mmmm")</f>
        <v>October</v>
      </c>
      <c r="K822" s="2">
        <f>MONTH([1]retail_sales_cleaned_dataset!B822)</f>
        <v>10</v>
      </c>
      <c r="L822" s="2">
        <f>YEAR([1]retail_sales_cleaned_dataset!B822)</f>
        <v>2025</v>
      </c>
      <c r="M822" s="2" t="str">
        <f t="shared" si="25"/>
        <v>18-25</v>
      </c>
    </row>
    <row r="823" spans="1:13" x14ac:dyDescent="0.25">
      <c r="A823" s="2">
        <v>822</v>
      </c>
      <c r="B823" s="1">
        <v>45959</v>
      </c>
      <c r="C823" t="s">
        <v>599</v>
      </c>
      <c r="D823" t="s">
        <v>12</v>
      </c>
      <c r="E823">
        <v>64</v>
      </c>
      <c r="F823" s="2" t="s">
        <v>10</v>
      </c>
      <c r="G823" s="2">
        <v>3</v>
      </c>
      <c r="H823" s="5">
        <v>50</v>
      </c>
      <c r="I823" s="5">
        <f t="shared" si="24"/>
        <v>150</v>
      </c>
      <c r="J823" s="2" t="str">
        <f>TEXT([1]retail_sales_cleaned_dataset!B823,"mmmm")</f>
        <v>October</v>
      </c>
      <c r="K823" s="2">
        <f>MONTH([1]retail_sales_cleaned_dataset!B823)</f>
        <v>10</v>
      </c>
      <c r="L823" s="2">
        <f>YEAR([1]retail_sales_cleaned_dataset!B823)</f>
        <v>2025</v>
      </c>
      <c r="M823" s="2" t="str">
        <f t="shared" si="25"/>
        <v>46+</v>
      </c>
    </row>
    <row r="824" spans="1:13" x14ac:dyDescent="0.25">
      <c r="A824" s="2">
        <v>823</v>
      </c>
      <c r="B824" s="1">
        <v>45959</v>
      </c>
      <c r="C824" t="s">
        <v>600</v>
      </c>
      <c r="D824" t="s">
        <v>9</v>
      </c>
      <c r="E824">
        <v>40</v>
      </c>
      <c r="F824" s="2" t="s">
        <v>15</v>
      </c>
      <c r="G824" s="2">
        <v>2</v>
      </c>
      <c r="H824" s="5">
        <v>50</v>
      </c>
      <c r="I824" s="5">
        <f t="shared" si="24"/>
        <v>100</v>
      </c>
      <c r="J824" s="2" t="str">
        <f>TEXT([1]retail_sales_cleaned_dataset!B824,"mmmm")</f>
        <v>October</v>
      </c>
      <c r="K824" s="2">
        <f>MONTH([1]retail_sales_cleaned_dataset!B824)</f>
        <v>10</v>
      </c>
      <c r="L824" s="2">
        <f>YEAR([1]retail_sales_cleaned_dataset!B824)</f>
        <v>2025</v>
      </c>
      <c r="M824" s="2" t="str">
        <f t="shared" si="25"/>
        <v>36-45</v>
      </c>
    </row>
    <row r="825" spans="1:13" x14ac:dyDescent="0.25">
      <c r="A825" s="2">
        <v>824</v>
      </c>
      <c r="B825" s="1">
        <v>45959</v>
      </c>
      <c r="C825" t="s">
        <v>601</v>
      </c>
      <c r="D825" t="s">
        <v>9</v>
      </c>
      <c r="E825">
        <v>55</v>
      </c>
      <c r="F825" s="2" t="s">
        <v>13</v>
      </c>
      <c r="G825" s="2">
        <v>4</v>
      </c>
      <c r="H825" s="5">
        <v>30</v>
      </c>
      <c r="I825" s="5">
        <f t="shared" si="24"/>
        <v>120</v>
      </c>
      <c r="J825" s="2" t="str">
        <f>TEXT([1]retail_sales_cleaned_dataset!B825,"mmmm")</f>
        <v>October</v>
      </c>
      <c r="K825" s="2">
        <f>MONTH([1]retail_sales_cleaned_dataset!B825)</f>
        <v>10</v>
      </c>
      <c r="L825" s="2">
        <f>YEAR([1]retail_sales_cleaned_dataset!B825)</f>
        <v>2025</v>
      </c>
      <c r="M825" s="2" t="str">
        <f t="shared" si="25"/>
        <v>46+</v>
      </c>
    </row>
    <row r="826" spans="1:13" x14ac:dyDescent="0.25">
      <c r="A826" s="2">
        <v>825</v>
      </c>
      <c r="B826" s="1">
        <v>45959</v>
      </c>
      <c r="C826" t="s">
        <v>602</v>
      </c>
      <c r="D826" t="s">
        <v>9</v>
      </c>
      <c r="E826">
        <v>52</v>
      </c>
      <c r="F826" s="2" t="s">
        <v>10</v>
      </c>
      <c r="G826" s="2">
        <v>1</v>
      </c>
      <c r="H826" s="5">
        <v>25</v>
      </c>
      <c r="I826" s="5">
        <f t="shared" si="24"/>
        <v>25</v>
      </c>
      <c r="J826" s="2" t="str">
        <f>TEXT([1]retail_sales_cleaned_dataset!B826,"mmmm")</f>
        <v>October</v>
      </c>
      <c r="K826" s="2">
        <f>MONTH([1]retail_sales_cleaned_dataset!B826)</f>
        <v>10</v>
      </c>
      <c r="L826" s="2">
        <f>YEAR([1]retail_sales_cleaned_dataset!B826)</f>
        <v>2025</v>
      </c>
      <c r="M826" s="2" t="str">
        <f t="shared" si="25"/>
        <v>46+</v>
      </c>
    </row>
    <row r="827" spans="1:13" x14ac:dyDescent="0.25">
      <c r="A827" s="2">
        <v>826</v>
      </c>
      <c r="B827" s="1">
        <v>45960</v>
      </c>
      <c r="C827" t="s">
        <v>603</v>
      </c>
      <c r="D827" t="s">
        <v>12</v>
      </c>
      <c r="E827">
        <v>32</v>
      </c>
      <c r="F827" s="2" t="s">
        <v>13</v>
      </c>
      <c r="G827" s="2">
        <v>1</v>
      </c>
      <c r="H827" s="5">
        <v>300</v>
      </c>
      <c r="I827" s="5">
        <f t="shared" si="24"/>
        <v>300</v>
      </c>
      <c r="J827" s="2" t="str">
        <f>TEXT([1]retail_sales_cleaned_dataset!B827,"mmmm")</f>
        <v>October</v>
      </c>
      <c r="K827" s="2">
        <f>MONTH([1]retail_sales_cleaned_dataset!B827)</f>
        <v>10</v>
      </c>
      <c r="L827" s="2">
        <f>YEAR([1]retail_sales_cleaned_dataset!B827)</f>
        <v>2025</v>
      </c>
      <c r="M827" s="2" t="str">
        <f t="shared" si="25"/>
        <v>26-35</v>
      </c>
    </row>
    <row r="828" spans="1:13" x14ac:dyDescent="0.25">
      <c r="A828" s="2">
        <v>827</v>
      </c>
      <c r="B828" s="1">
        <v>45961</v>
      </c>
      <c r="C828" t="s">
        <v>604</v>
      </c>
      <c r="D828" t="s">
        <v>12</v>
      </c>
      <c r="E828">
        <v>42</v>
      </c>
      <c r="F828" s="2" t="s">
        <v>10</v>
      </c>
      <c r="G828" s="2">
        <v>3</v>
      </c>
      <c r="H828" s="5">
        <v>300</v>
      </c>
      <c r="I828" s="5">
        <f t="shared" si="24"/>
        <v>900</v>
      </c>
      <c r="J828" s="2" t="str">
        <f>TEXT([1]retail_sales_cleaned_dataset!B828,"mmmm")</f>
        <v>October</v>
      </c>
      <c r="K828" s="2">
        <f>MONTH([1]retail_sales_cleaned_dataset!B828)</f>
        <v>10</v>
      </c>
      <c r="L828" s="2">
        <f>YEAR([1]retail_sales_cleaned_dataset!B828)</f>
        <v>2025</v>
      </c>
      <c r="M828" s="2" t="str">
        <f t="shared" si="25"/>
        <v>36-45</v>
      </c>
    </row>
    <row r="829" spans="1:13" x14ac:dyDescent="0.25">
      <c r="A829" s="2">
        <v>828</v>
      </c>
      <c r="B829" s="1">
        <v>45961</v>
      </c>
      <c r="C829" t="s">
        <v>605</v>
      </c>
      <c r="D829" t="s">
        <v>12</v>
      </c>
      <c r="E829">
        <v>34</v>
      </c>
      <c r="F829" s="2" t="s">
        <v>15</v>
      </c>
      <c r="G829" s="2">
        <v>4</v>
      </c>
      <c r="H829" s="5">
        <v>300</v>
      </c>
      <c r="I829" s="5">
        <f t="shared" si="24"/>
        <v>1200</v>
      </c>
      <c r="J829" s="2" t="str">
        <f>TEXT([1]retail_sales_cleaned_dataset!B829,"mmmm")</f>
        <v>October</v>
      </c>
      <c r="K829" s="2">
        <f>MONTH([1]retail_sales_cleaned_dataset!B829)</f>
        <v>10</v>
      </c>
      <c r="L829" s="2">
        <f>YEAR([1]retail_sales_cleaned_dataset!B829)</f>
        <v>2025</v>
      </c>
      <c r="M829" s="2" t="str">
        <f t="shared" si="25"/>
        <v>26-35</v>
      </c>
    </row>
    <row r="830" spans="1:13" x14ac:dyDescent="0.25">
      <c r="A830" s="2">
        <v>829</v>
      </c>
      <c r="B830" s="1">
        <v>45961</v>
      </c>
      <c r="C830" t="s">
        <v>606</v>
      </c>
      <c r="D830" t="s">
        <v>9</v>
      </c>
      <c r="E830">
        <v>56</v>
      </c>
      <c r="F830" s="2" t="s">
        <v>10</v>
      </c>
      <c r="G830" s="2">
        <v>3</v>
      </c>
      <c r="H830" s="5">
        <v>30</v>
      </c>
      <c r="I830" s="5">
        <f t="shared" si="24"/>
        <v>90</v>
      </c>
      <c r="J830" s="2" t="str">
        <f>TEXT([1]retail_sales_cleaned_dataset!B830,"mmmm")</f>
        <v>October</v>
      </c>
      <c r="K830" s="2">
        <f>MONTH([1]retail_sales_cleaned_dataset!B830)</f>
        <v>10</v>
      </c>
      <c r="L830" s="2">
        <f>YEAR([1]retail_sales_cleaned_dataset!B830)</f>
        <v>2025</v>
      </c>
      <c r="M830" s="2" t="str">
        <f t="shared" si="25"/>
        <v>46+</v>
      </c>
    </row>
    <row r="831" spans="1:13" x14ac:dyDescent="0.25">
      <c r="A831" s="2">
        <v>830</v>
      </c>
      <c r="B831" s="1">
        <v>45962</v>
      </c>
      <c r="C831" t="s">
        <v>607</v>
      </c>
      <c r="D831" t="s">
        <v>12</v>
      </c>
      <c r="E831">
        <v>43</v>
      </c>
      <c r="F831" s="2" t="s">
        <v>13</v>
      </c>
      <c r="G831" s="2">
        <v>3</v>
      </c>
      <c r="H831" s="5">
        <v>50</v>
      </c>
      <c r="I831" s="5">
        <f t="shared" si="24"/>
        <v>150</v>
      </c>
      <c r="J831" s="2" t="str">
        <f>TEXT([1]retail_sales_cleaned_dataset!B831,"mmmm")</f>
        <v>November</v>
      </c>
      <c r="K831" s="2">
        <f>MONTH([1]retail_sales_cleaned_dataset!B831)</f>
        <v>11</v>
      </c>
      <c r="L831" s="2">
        <f>YEAR([1]retail_sales_cleaned_dataset!B831)</f>
        <v>2025</v>
      </c>
      <c r="M831" s="2" t="str">
        <f t="shared" si="25"/>
        <v>36-45</v>
      </c>
    </row>
    <row r="832" spans="1:13" x14ac:dyDescent="0.25">
      <c r="A832" s="2">
        <v>831</v>
      </c>
      <c r="B832" s="1">
        <v>45962</v>
      </c>
      <c r="C832" t="s">
        <v>608</v>
      </c>
      <c r="D832" t="s">
        <v>9</v>
      </c>
      <c r="E832">
        <v>61</v>
      </c>
      <c r="F832" s="2" t="s">
        <v>15</v>
      </c>
      <c r="G832" s="2">
        <v>4</v>
      </c>
      <c r="H832" s="5">
        <v>25</v>
      </c>
      <c r="I832" s="5">
        <f t="shared" si="24"/>
        <v>100</v>
      </c>
      <c r="J832" s="2" t="str">
        <f>TEXT([1]retail_sales_cleaned_dataset!B832,"mmmm")</f>
        <v>November</v>
      </c>
      <c r="K832" s="2">
        <f>MONTH([1]retail_sales_cleaned_dataset!B832)</f>
        <v>11</v>
      </c>
      <c r="L832" s="2">
        <f>YEAR([1]retail_sales_cleaned_dataset!B832)</f>
        <v>2025</v>
      </c>
      <c r="M832" s="2" t="str">
        <f t="shared" si="25"/>
        <v>46+</v>
      </c>
    </row>
    <row r="833" spans="1:13" x14ac:dyDescent="0.25">
      <c r="A833" s="2">
        <v>832</v>
      </c>
      <c r="B833" s="1">
        <v>45962</v>
      </c>
      <c r="C833" t="s">
        <v>609</v>
      </c>
      <c r="D833" t="s">
        <v>9</v>
      </c>
      <c r="E833">
        <v>21</v>
      </c>
      <c r="F833" s="2" t="s">
        <v>10</v>
      </c>
      <c r="G833" s="2">
        <v>4</v>
      </c>
      <c r="H833" s="5">
        <v>500</v>
      </c>
      <c r="I833" s="5">
        <f t="shared" si="24"/>
        <v>2000</v>
      </c>
      <c r="J833" s="2" t="str">
        <f>TEXT([1]retail_sales_cleaned_dataset!B833,"mmmm")</f>
        <v>November</v>
      </c>
      <c r="K833" s="2">
        <f>MONTH([1]retail_sales_cleaned_dataset!B833)</f>
        <v>11</v>
      </c>
      <c r="L833" s="2">
        <f>YEAR([1]retail_sales_cleaned_dataset!B833)</f>
        <v>2025</v>
      </c>
      <c r="M833" s="2" t="str">
        <f t="shared" si="25"/>
        <v>18-25</v>
      </c>
    </row>
    <row r="834" spans="1:13" x14ac:dyDescent="0.25">
      <c r="A834" s="2">
        <v>833</v>
      </c>
      <c r="B834" s="1">
        <v>45962</v>
      </c>
      <c r="C834" t="s">
        <v>610</v>
      </c>
      <c r="D834" t="s">
        <v>9</v>
      </c>
      <c r="E834">
        <v>58</v>
      </c>
      <c r="F834" s="2" t="s">
        <v>10</v>
      </c>
      <c r="G834" s="2">
        <v>4</v>
      </c>
      <c r="H834" s="5">
        <v>50</v>
      </c>
      <c r="I834" s="5">
        <f t="shared" ref="I834:I897" si="26">G834*H834</f>
        <v>200</v>
      </c>
      <c r="J834" s="2" t="str">
        <f>TEXT([1]retail_sales_cleaned_dataset!B834,"mmmm")</f>
        <v>November</v>
      </c>
      <c r="K834" s="2">
        <f>MONTH([1]retail_sales_cleaned_dataset!B834)</f>
        <v>11</v>
      </c>
      <c r="L834" s="2">
        <f>YEAR([1]retail_sales_cleaned_dataset!B834)</f>
        <v>2025</v>
      </c>
      <c r="M834" s="2" t="str">
        <f t="shared" ref="M834:M897" si="27">IF(E834&lt;=25,"18-25",IF(E834&lt;=35,"26-35",IF(E834&lt;=45,"36-45","46+")))</f>
        <v>46+</v>
      </c>
    </row>
    <row r="835" spans="1:13" x14ac:dyDescent="0.25">
      <c r="A835" s="2">
        <v>834</v>
      </c>
      <c r="B835" s="1">
        <v>45963</v>
      </c>
      <c r="C835" t="s">
        <v>611</v>
      </c>
      <c r="D835" t="s">
        <v>9</v>
      </c>
      <c r="E835">
        <v>51</v>
      </c>
      <c r="F835" s="2" t="s">
        <v>10</v>
      </c>
      <c r="G835" s="2">
        <v>2</v>
      </c>
      <c r="H835" s="5">
        <v>30</v>
      </c>
      <c r="I835" s="5">
        <f t="shared" si="26"/>
        <v>60</v>
      </c>
      <c r="J835" s="2" t="str">
        <f>TEXT([1]retail_sales_cleaned_dataset!B835,"mmmm")</f>
        <v>November</v>
      </c>
      <c r="K835" s="2">
        <f>MONTH([1]retail_sales_cleaned_dataset!B835)</f>
        <v>11</v>
      </c>
      <c r="L835" s="2">
        <f>YEAR([1]retail_sales_cleaned_dataset!B835)</f>
        <v>2025</v>
      </c>
      <c r="M835" s="2" t="str">
        <f t="shared" si="27"/>
        <v>46+</v>
      </c>
    </row>
    <row r="836" spans="1:13" x14ac:dyDescent="0.25">
      <c r="A836" s="2">
        <v>835</v>
      </c>
      <c r="B836" s="1">
        <v>45963</v>
      </c>
      <c r="C836" t="s">
        <v>612</v>
      </c>
      <c r="D836" t="s">
        <v>12</v>
      </c>
      <c r="E836">
        <v>64</v>
      </c>
      <c r="F836" s="2" t="s">
        <v>13</v>
      </c>
      <c r="G836" s="2">
        <v>4</v>
      </c>
      <c r="H836" s="5">
        <v>50</v>
      </c>
      <c r="I836" s="5">
        <f t="shared" si="26"/>
        <v>200</v>
      </c>
      <c r="J836" s="2" t="str">
        <f>TEXT([1]retail_sales_cleaned_dataset!B836,"mmmm")</f>
        <v>November</v>
      </c>
      <c r="K836" s="2">
        <f>MONTH([1]retail_sales_cleaned_dataset!B836)</f>
        <v>11</v>
      </c>
      <c r="L836" s="2">
        <f>YEAR([1]retail_sales_cleaned_dataset!B836)</f>
        <v>2025</v>
      </c>
      <c r="M836" s="2" t="str">
        <f t="shared" si="27"/>
        <v>46+</v>
      </c>
    </row>
    <row r="837" spans="1:13" x14ac:dyDescent="0.25">
      <c r="A837" s="2">
        <v>836</v>
      </c>
      <c r="B837" s="1">
        <v>45963</v>
      </c>
      <c r="C837" t="s">
        <v>613</v>
      </c>
      <c r="D837" t="s">
        <v>12</v>
      </c>
      <c r="E837">
        <v>25</v>
      </c>
      <c r="F837" s="2" t="s">
        <v>13</v>
      </c>
      <c r="G837" s="2">
        <v>1</v>
      </c>
      <c r="H837" s="5">
        <v>50</v>
      </c>
      <c r="I837" s="5">
        <f t="shared" si="26"/>
        <v>50</v>
      </c>
      <c r="J837" s="2" t="str">
        <f>TEXT([1]retail_sales_cleaned_dataset!B837,"mmmm")</f>
        <v>November</v>
      </c>
      <c r="K837" s="2">
        <f>MONTH([1]retail_sales_cleaned_dataset!B837)</f>
        <v>11</v>
      </c>
      <c r="L837" s="2">
        <f>YEAR([1]retail_sales_cleaned_dataset!B837)</f>
        <v>2025</v>
      </c>
      <c r="M837" s="2" t="str">
        <f t="shared" si="27"/>
        <v>18-25</v>
      </c>
    </row>
    <row r="838" spans="1:13" x14ac:dyDescent="0.25">
      <c r="A838" s="2">
        <v>837</v>
      </c>
      <c r="B838" s="1">
        <v>45963</v>
      </c>
      <c r="C838" t="s">
        <v>151</v>
      </c>
      <c r="D838" t="s">
        <v>12</v>
      </c>
      <c r="E838">
        <v>61</v>
      </c>
      <c r="F838" s="2" t="s">
        <v>10</v>
      </c>
      <c r="G838" s="2">
        <v>3</v>
      </c>
      <c r="H838" s="5">
        <v>30</v>
      </c>
      <c r="I838" s="5">
        <f t="shared" si="26"/>
        <v>90</v>
      </c>
      <c r="J838" s="2" t="str">
        <f>TEXT([1]retail_sales_cleaned_dataset!B838,"mmmm")</f>
        <v>November</v>
      </c>
      <c r="K838" s="2">
        <f>MONTH([1]retail_sales_cleaned_dataset!B838)</f>
        <v>11</v>
      </c>
      <c r="L838" s="2">
        <f>YEAR([1]retail_sales_cleaned_dataset!B838)</f>
        <v>2025</v>
      </c>
      <c r="M838" s="2" t="str">
        <f t="shared" si="27"/>
        <v>46+</v>
      </c>
    </row>
    <row r="839" spans="1:13" x14ac:dyDescent="0.25">
      <c r="A839" s="2">
        <v>838</v>
      </c>
      <c r="B839" s="1">
        <v>45963</v>
      </c>
      <c r="C839" t="s">
        <v>614</v>
      </c>
      <c r="D839" t="s">
        <v>12</v>
      </c>
      <c r="E839">
        <v>23</v>
      </c>
      <c r="F839" s="2" t="s">
        <v>15</v>
      </c>
      <c r="G839" s="2">
        <v>2</v>
      </c>
      <c r="H839" s="5">
        <v>300</v>
      </c>
      <c r="I839" s="5">
        <f t="shared" si="26"/>
        <v>600</v>
      </c>
      <c r="J839" s="2" t="str">
        <f>TEXT([1]retail_sales_cleaned_dataset!B839,"mmmm")</f>
        <v>November</v>
      </c>
      <c r="K839" s="2">
        <f>MONTH([1]retail_sales_cleaned_dataset!B839)</f>
        <v>11</v>
      </c>
      <c r="L839" s="2">
        <f>YEAR([1]retail_sales_cleaned_dataset!B839)</f>
        <v>2025</v>
      </c>
      <c r="M839" s="2" t="str">
        <f t="shared" si="27"/>
        <v>18-25</v>
      </c>
    </row>
    <row r="840" spans="1:13" x14ac:dyDescent="0.25">
      <c r="A840" s="2">
        <v>839</v>
      </c>
      <c r="B840" s="1">
        <v>45963</v>
      </c>
      <c r="C840" t="s">
        <v>270</v>
      </c>
      <c r="D840" t="s">
        <v>12</v>
      </c>
      <c r="E840">
        <v>54</v>
      </c>
      <c r="F840" s="2" t="s">
        <v>15</v>
      </c>
      <c r="G840" s="2">
        <v>4</v>
      </c>
      <c r="H840" s="5">
        <v>300</v>
      </c>
      <c r="I840" s="5">
        <f t="shared" si="26"/>
        <v>1200</v>
      </c>
      <c r="J840" s="2" t="str">
        <f>TEXT([1]retail_sales_cleaned_dataset!B840,"mmmm")</f>
        <v>November</v>
      </c>
      <c r="K840" s="2">
        <f>MONTH([1]retail_sales_cleaned_dataset!B840)</f>
        <v>11</v>
      </c>
      <c r="L840" s="2">
        <f>YEAR([1]retail_sales_cleaned_dataset!B840)</f>
        <v>2025</v>
      </c>
      <c r="M840" s="2" t="str">
        <f t="shared" si="27"/>
        <v>46+</v>
      </c>
    </row>
    <row r="841" spans="1:13" x14ac:dyDescent="0.25">
      <c r="A841" s="2">
        <v>840</v>
      </c>
      <c r="B841" s="1">
        <v>45964</v>
      </c>
      <c r="C841" t="s">
        <v>615</v>
      </c>
      <c r="D841" t="s">
        <v>9</v>
      </c>
      <c r="E841">
        <v>21</v>
      </c>
      <c r="F841" s="2" t="s">
        <v>13</v>
      </c>
      <c r="G841" s="2">
        <v>2</v>
      </c>
      <c r="H841" s="5">
        <v>25</v>
      </c>
      <c r="I841" s="5">
        <f t="shared" si="26"/>
        <v>50</v>
      </c>
      <c r="J841" s="2" t="str">
        <f>TEXT([1]retail_sales_cleaned_dataset!B841,"mmmm")</f>
        <v>November</v>
      </c>
      <c r="K841" s="2">
        <f>MONTH([1]retail_sales_cleaned_dataset!B841)</f>
        <v>11</v>
      </c>
      <c r="L841" s="2">
        <f>YEAR([1]retail_sales_cleaned_dataset!B841)</f>
        <v>2025</v>
      </c>
      <c r="M841" s="2" t="str">
        <f t="shared" si="27"/>
        <v>18-25</v>
      </c>
    </row>
    <row r="842" spans="1:13" x14ac:dyDescent="0.25">
      <c r="A842" s="2">
        <v>841</v>
      </c>
      <c r="B842" s="1">
        <v>45965</v>
      </c>
      <c r="C842" t="s">
        <v>61</v>
      </c>
      <c r="D842" t="s">
        <v>9</v>
      </c>
      <c r="E842">
        <v>47</v>
      </c>
      <c r="F842" s="2" t="s">
        <v>15</v>
      </c>
      <c r="G842" s="2">
        <v>4</v>
      </c>
      <c r="H842" s="5">
        <v>25</v>
      </c>
      <c r="I842" s="5">
        <f t="shared" si="26"/>
        <v>100</v>
      </c>
      <c r="J842" s="2" t="str">
        <f>TEXT([1]retail_sales_cleaned_dataset!B842,"mmmm")</f>
        <v>November</v>
      </c>
      <c r="K842" s="2">
        <f>MONTH([1]retail_sales_cleaned_dataset!B842)</f>
        <v>11</v>
      </c>
      <c r="L842" s="2">
        <f>YEAR([1]retail_sales_cleaned_dataset!B842)</f>
        <v>2025</v>
      </c>
      <c r="M842" s="2" t="str">
        <f t="shared" si="27"/>
        <v>46+</v>
      </c>
    </row>
    <row r="843" spans="1:13" x14ac:dyDescent="0.25">
      <c r="A843" s="2">
        <v>842</v>
      </c>
      <c r="B843" s="1">
        <v>45966</v>
      </c>
      <c r="C843" t="s">
        <v>616</v>
      </c>
      <c r="D843" t="s">
        <v>9</v>
      </c>
      <c r="E843">
        <v>26</v>
      </c>
      <c r="F843" s="2" t="s">
        <v>13</v>
      </c>
      <c r="G843" s="2">
        <v>2</v>
      </c>
      <c r="H843" s="5">
        <v>300</v>
      </c>
      <c r="I843" s="5">
        <f t="shared" si="26"/>
        <v>600</v>
      </c>
      <c r="J843" s="2" t="str">
        <f>TEXT([1]retail_sales_cleaned_dataset!B843,"mmmm")</f>
        <v>November</v>
      </c>
      <c r="K843" s="2">
        <f>MONTH([1]retail_sales_cleaned_dataset!B843)</f>
        <v>11</v>
      </c>
      <c r="L843" s="2">
        <f>YEAR([1]retail_sales_cleaned_dataset!B843)</f>
        <v>2025</v>
      </c>
      <c r="M843" s="2" t="str">
        <f t="shared" si="27"/>
        <v>26-35</v>
      </c>
    </row>
    <row r="844" spans="1:13" x14ac:dyDescent="0.25">
      <c r="A844" s="2">
        <v>843</v>
      </c>
      <c r="B844" s="1">
        <v>45966</v>
      </c>
      <c r="C844" t="s">
        <v>120</v>
      </c>
      <c r="D844" t="s">
        <v>9</v>
      </c>
      <c r="E844">
        <v>20</v>
      </c>
      <c r="F844" s="2" t="s">
        <v>10</v>
      </c>
      <c r="G844" s="2">
        <v>3</v>
      </c>
      <c r="H844" s="5">
        <v>500</v>
      </c>
      <c r="I844" s="5">
        <f t="shared" si="26"/>
        <v>1500</v>
      </c>
      <c r="J844" s="2" t="str">
        <f>TEXT([1]retail_sales_cleaned_dataset!B844,"mmmm")</f>
        <v>November</v>
      </c>
      <c r="K844" s="2">
        <f>MONTH([1]retail_sales_cleaned_dataset!B844)</f>
        <v>11</v>
      </c>
      <c r="L844" s="2">
        <f>YEAR([1]retail_sales_cleaned_dataset!B844)</f>
        <v>2025</v>
      </c>
      <c r="M844" s="2" t="str">
        <f t="shared" si="27"/>
        <v>18-25</v>
      </c>
    </row>
    <row r="845" spans="1:13" x14ac:dyDescent="0.25">
      <c r="A845" s="2">
        <v>844</v>
      </c>
      <c r="B845" s="1">
        <v>45967</v>
      </c>
      <c r="C845" t="s">
        <v>617</v>
      </c>
      <c r="D845" t="s">
        <v>12</v>
      </c>
      <c r="E845">
        <v>53</v>
      </c>
      <c r="F845" s="2" t="s">
        <v>13</v>
      </c>
      <c r="G845" s="2">
        <v>3</v>
      </c>
      <c r="H845" s="5">
        <v>50</v>
      </c>
      <c r="I845" s="5">
        <f t="shared" si="26"/>
        <v>150</v>
      </c>
      <c r="J845" s="2" t="str">
        <f>TEXT([1]retail_sales_cleaned_dataset!B845,"mmmm")</f>
        <v>November</v>
      </c>
      <c r="K845" s="2">
        <f>MONTH([1]retail_sales_cleaned_dataset!B845)</f>
        <v>11</v>
      </c>
      <c r="L845" s="2">
        <f>YEAR([1]retail_sales_cleaned_dataset!B845)</f>
        <v>2025</v>
      </c>
      <c r="M845" s="2" t="str">
        <f t="shared" si="27"/>
        <v>46+</v>
      </c>
    </row>
    <row r="846" spans="1:13" x14ac:dyDescent="0.25">
      <c r="A846" s="2">
        <v>845</v>
      </c>
      <c r="B846" s="1">
        <v>45967</v>
      </c>
      <c r="C846" t="s">
        <v>322</v>
      </c>
      <c r="D846" t="s">
        <v>9</v>
      </c>
      <c r="E846">
        <v>48</v>
      </c>
      <c r="F846" s="2" t="s">
        <v>13</v>
      </c>
      <c r="G846" s="2">
        <v>1</v>
      </c>
      <c r="H846" s="5">
        <v>500</v>
      </c>
      <c r="I846" s="5">
        <f t="shared" si="26"/>
        <v>500</v>
      </c>
      <c r="J846" s="2" t="str">
        <f>TEXT([1]retail_sales_cleaned_dataset!B846,"mmmm")</f>
        <v>November</v>
      </c>
      <c r="K846" s="2">
        <f>MONTH([1]retail_sales_cleaned_dataset!B846)</f>
        <v>11</v>
      </c>
      <c r="L846" s="2">
        <f>YEAR([1]retail_sales_cleaned_dataset!B846)</f>
        <v>2025</v>
      </c>
      <c r="M846" s="2" t="str">
        <f t="shared" si="27"/>
        <v>46+</v>
      </c>
    </row>
    <row r="847" spans="1:13" x14ac:dyDescent="0.25">
      <c r="A847" s="2">
        <v>846</v>
      </c>
      <c r="B847" s="1">
        <v>45968</v>
      </c>
      <c r="C847" t="s">
        <v>618</v>
      </c>
      <c r="D847" t="s">
        <v>9</v>
      </c>
      <c r="E847">
        <v>23</v>
      </c>
      <c r="F847" s="2" t="s">
        <v>10</v>
      </c>
      <c r="G847" s="2">
        <v>1</v>
      </c>
      <c r="H847" s="5">
        <v>50</v>
      </c>
      <c r="I847" s="5">
        <f t="shared" si="26"/>
        <v>50</v>
      </c>
      <c r="J847" s="2" t="str">
        <f>TEXT([1]retail_sales_cleaned_dataset!B847,"mmmm")</f>
        <v>November</v>
      </c>
      <c r="K847" s="2">
        <f>MONTH([1]retail_sales_cleaned_dataset!B847)</f>
        <v>11</v>
      </c>
      <c r="L847" s="2">
        <f>YEAR([1]retail_sales_cleaned_dataset!B847)</f>
        <v>2025</v>
      </c>
      <c r="M847" s="2" t="str">
        <f t="shared" si="27"/>
        <v>18-25</v>
      </c>
    </row>
    <row r="848" spans="1:13" x14ac:dyDescent="0.25">
      <c r="A848" s="2">
        <v>847</v>
      </c>
      <c r="B848" s="1">
        <v>45968</v>
      </c>
      <c r="C848" t="s">
        <v>426</v>
      </c>
      <c r="D848" t="s">
        <v>12</v>
      </c>
      <c r="E848">
        <v>37</v>
      </c>
      <c r="F848" s="2" t="s">
        <v>15</v>
      </c>
      <c r="G848" s="2">
        <v>4</v>
      </c>
      <c r="H848" s="5">
        <v>300</v>
      </c>
      <c r="I848" s="5">
        <f t="shared" si="26"/>
        <v>1200</v>
      </c>
      <c r="J848" s="2" t="str">
        <f>TEXT([1]retail_sales_cleaned_dataset!B848,"mmmm")</f>
        <v>November</v>
      </c>
      <c r="K848" s="2">
        <f>MONTH([1]retail_sales_cleaned_dataset!B848)</f>
        <v>11</v>
      </c>
      <c r="L848" s="2">
        <f>YEAR([1]retail_sales_cleaned_dataset!B848)</f>
        <v>2025</v>
      </c>
      <c r="M848" s="2" t="str">
        <f t="shared" si="27"/>
        <v>36-45</v>
      </c>
    </row>
    <row r="849" spans="1:13" x14ac:dyDescent="0.25">
      <c r="A849" s="2">
        <v>848</v>
      </c>
      <c r="B849" s="1">
        <v>45968</v>
      </c>
      <c r="C849" t="s">
        <v>619</v>
      </c>
      <c r="D849" t="s">
        <v>12</v>
      </c>
      <c r="E849">
        <v>45</v>
      </c>
      <c r="F849" s="2" t="s">
        <v>13</v>
      </c>
      <c r="G849" s="2">
        <v>3</v>
      </c>
      <c r="H849" s="5">
        <v>25</v>
      </c>
      <c r="I849" s="5">
        <f t="shared" si="26"/>
        <v>75</v>
      </c>
      <c r="J849" s="2" t="str">
        <f>TEXT([1]retail_sales_cleaned_dataset!B849,"mmmm")</f>
        <v>November</v>
      </c>
      <c r="K849" s="2">
        <f>MONTH([1]retail_sales_cleaned_dataset!B849)</f>
        <v>11</v>
      </c>
      <c r="L849" s="2">
        <f>YEAR([1]retail_sales_cleaned_dataset!B849)</f>
        <v>2025</v>
      </c>
      <c r="M849" s="2" t="str">
        <f t="shared" si="27"/>
        <v>36-45</v>
      </c>
    </row>
    <row r="850" spans="1:13" x14ac:dyDescent="0.25">
      <c r="A850" s="2">
        <v>849</v>
      </c>
      <c r="B850" s="1">
        <v>45968</v>
      </c>
      <c r="C850" t="s">
        <v>602</v>
      </c>
      <c r="D850" t="s">
        <v>9</v>
      </c>
      <c r="E850">
        <v>21</v>
      </c>
      <c r="F850" s="2" t="s">
        <v>13</v>
      </c>
      <c r="G850" s="2">
        <v>2</v>
      </c>
      <c r="H850" s="5">
        <v>25</v>
      </c>
      <c r="I850" s="5">
        <f t="shared" si="26"/>
        <v>50</v>
      </c>
      <c r="J850" s="2" t="str">
        <f>TEXT([1]retail_sales_cleaned_dataset!B850,"mmmm")</f>
        <v>November</v>
      </c>
      <c r="K850" s="2">
        <f>MONTH([1]retail_sales_cleaned_dataset!B850)</f>
        <v>11</v>
      </c>
      <c r="L850" s="2">
        <f>YEAR([1]retail_sales_cleaned_dataset!B850)</f>
        <v>2025</v>
      </c>
      <c r="M850" s="2" t="str">
        <f t="shared" si="27"/>
        <v>18-25</v>
      </c>
    </row>
    <row r="851" spans="1:13" x14ac:dyDescent="0.25">
      <c r="A851" s="2">
        <v>850</v>
      </c>
      <c r="B851" s="1">
        <v>45968</v>
      </c>
      <c r="C851" t="s">
        <v>620</v>
      </c>
      <c r="D851" t="s">
        <v>9</v>
      </c>
      <c r="E851">
        <v>47</v>
      </c>
      <c r="F851" s="2" t="s">
        <v>10</v>
      </c>
      <c r="G851" s="2">
        <v>2</v>
      </c>
      <c r="H851" s="5">
        <v>500</v>
      </c>
      <c r="I851" s="5">
        <f t="shared" si="26"/>
        <v>1000</v>
      </c>
      <c r="J851" s="2" t="str">
        <f>TEXT([1]retail_sales_cleaned_dataset!B851,"mmmm")</f>
        <v>November</v>
      </c>
      <c r="K851" s="2">
        <f>MONTH([1]retail_sales_cleaned_dataset!B851)</f>
        <v>11</v>
      </c>
      <c r="L851" s="2">
        <f>YEAR([1]retail_sales_cleaned_dataset!B851)</f>
        <v>2025</v>
      </c>
      <c r="M851" s="2" t="str">
        <f t="shared" si="27"/>
        <v>46+</v>
      </c>
    </row>
    <row r="852" spans="1:13" x14ac:dyDescent="0.25">
      <c r="A852" s="2">
        <v>851</v>
      </c>
      <c r="B852" s="1">
        <v>45968</v>
      </c>
      <c r="C852" t="s">
        <v>14</v>
      </c>
      <c r="D852" t="s">
        <v>9</v>
      </c>
      <c r="E852">
        <v>55</v>
      </c>
      <c r="F852" s="2" t="s">
        <v>15</v>
      </c>
      <c r="G852" s="2">
        <v>2</v>
      </c>
      <c r="H852" s="5">
        <v>25</v>
      </c>
      <c r="I852" s="5">
        <f t="shared" si="26"/>
        <v>50</v>
      </c>
      <c r="J852" s="2" t="str">
        <f>TEXT([1]retail_sales_cleaned_dataset!B852,"mmmm")</f>
        <v>November</v>
      </c>
      <c r="K852" s="2">
        <f>MONTH([1]retail_sales_cleaned_dataset!B852)</f>
        <v>11</v>
      </c>
      <c r="L852" s="2">
        <f>YEAR([1]retail_sales_cleaned_dataset!B852)</f>
        <v>2025</v>
      </c>
      <c r="M852" s="2" t="str">
        <f t="shared" si="27"/>
        <v>46+</v>
      </c>
    </row>
    <row r="853" spans="1:13" x14ac:dyDescent="0.25">
      <c r="A853" s="2">
        <v>852</v>
      </c>
      <c r="B853" s="1">
        <v>45969</v>
      </c>
      <c r="C853" t="s">
        <v>621</v>
      </c>
      <c r="D853" t="s">
        <v>9</v>
      </c>
      <c r="E853">
        <v>25</v>
      </c>
      <c r="F853" s="2" t="s">
        <v>13</v>
      </c>
      <c r="G853" s="2">
        <v>1</v>
      </c>
      <c r="H853" s="5">
        <v>300</v>
      </c>
      <c r="I853" s="5">
        <f t="shared" si="26"/>
        <v>300</v>
      </c>
      <c r="J853" s="2" t="str">
        <f>TEXT([1]retail_sales_cleaned_dataset!B853,"mmmm")</f>
        <v>November</v>
      </c>
      <c r="K853" s="2">
        <f>MONTH([1]retail_sales_cleaned_dataset!B853)</f>
        <v>11</v>
      </c>
      <c r="L853" s="2">
        <f>YEAR([1]retail_sales_cleaned_dataset!B853)</f>
        <v>2025</v>
      </c>
      <c r="M853" s="2" t="str">
        <f t="shared" si="27"/>
        <v>18-25</v>
      </c>
    </row>
    <row r="854" spans="1:13" x14ac:dyDescent="0.25">
      <c r="A854" s="2">
        <v>853</v>
      </c>
      <c r="B854" s="1">
        <v>45969</v>
      </c>
      <c r="C854" t="s">
        <v>75</v>
      </c>
      <c r="D854" t="s">
        <v>12</v>
      </c>
      <c r="E854">
        <v>23</v>
      </c>
      <c r="F854" s="2" t="s">
        <v>10</v>
      </c>
      <c r="G854" s="2">
        <v>2</v>
      </c>
      <c r="H854" s="5">
        <v>500</v>
      </c>
      <c r="I854" s="5">
        <f t="shared" si="26"/>
        <v>1000</v>
      </c>
      <c r="J854" s="2" t="str">
        <f>TEXT([1]retail_sales_cleaned_dataset!B854,"mmmm")</f>
        <v>November</v>
      </c>
      <c r="K854" s="2">
        <f>MONTH([1]retail_sales_cleaned_dataset!B854)</f>
        <v>11</v>
      </c>
      <c r="L854" s="2">
        <f>YEAR([1]retail_sales_cleaned_dataset!B854)</f>
        <v>2025</v>
      </c>
      <c r="M854" s="2" t="str">
        <f t="shared" si="27"/>
        <v>18-25</v>
      </c>
    </row>
    <row r="855" spans="1:13" x14ac:dyDescent="0.25">
      <c r="A855" s="2">
        <v>854</v>
      </c>
      <c r="B855" s="1">
        <v>45970</v>
      </c>
      <c r="C855" t="s">
        <v>622</v>
      </c>
      <c r="D855" t="s">
        <v>9</v>
      </c>
      <c r="E855">
        <v>43</v>
      </c>
      <c r="F855" s="2" t="s">
        <v>13</v>
      </c>
      <c r="G855" s="2">
        <v>1</v>
      </c>
      <c r="H855" s="5">
        <v>50</v>
      </c>
      <c r="I855" s="5">
        <f t="shared" si="26"/>
        <v>50</v>
      </c>
      <c r="J855" s="2" t="str">
        <f>TEXT([1]retail_sales_cleaned_dataset!B855,"mmmm")</f>
        <v>November</v>
      </c>
      <c r="K855" s="2">
        <f>MONTH([1]retail_sales_cleaned_dataset!B855)</f>
        <v>11</v>
      </c>
      <c r="L855" s="2">
        <f>YEAR([1]retail_sales_cleaned_dataset!B855)</f>
        <v>2025</v>
      </c>
      <c r="M855" s="2" t="str">
        <f t="shared" si="27"/>
        <v>36-45</v>
      </c>
    </row>
    <row r="856" spans="1:13" x14ac:dyDescent="0.25">
      <c r="A856" s="2">
        <v>855</v>
      </c>
      <c r="B856" s="1">
        <v>45970</v>
      </c>
      <c r="C856" t="s">
        <v>75</v>
      </c>
      <c r="D856" t="s">
        <v>9</v>
      </c>
      <c r="E856">
        <v>36</v>
      </c>
      <c r="F856" s="2" t="s">
        <v>10</v>
      </c>
      <c r="G856" s="2">
        <v>1</v>
      </c>
      <c r="H856" s="5">
        <v>25</v>
      </c>
      <c r="I856" s="5">
        <f t="shared" si="26"/>
        <v>25</v>
      </c>
      <c r="J856" s="2" t="str">
        <f>TEXT([1]retail_sales_cleaned_dataset!B856,"mmmm")</f>
        <v>November</v>
      </c>
      <c r="K856" s="2">
        <f>MONTH([1]retail_sales_cleaned_dataset!B856)</f>
        <v>11</v>
      </c>
      <c r="L856" s="2">
        <f>YEAR([1]retail_sales_cleaned_dataset!B856)</f>
        <v>2025</v>
      </c>
      <c r="M856" s="2" t="str">
        <f t="shared" si="27"/>
        <v>36-45</v>
      </c>
    </row>
    <row r="857" spans="1:13" x14ac:dyDescent="0.25">
      <c r="A857" s="2">
        <v>856</v>
      </c>
      <c r="B857" s="1">
        <v>45970</v>
      </c>
      <c r="C857" t="s">
        <v>623</v>
      </c>
      <c r="D857" t="s">
        <v>12</v>
      </c>
      <c r="E857">
        <v>37</v>
      </c>
      <c r="F857" s="2" t="s">
        <v>15</v>
      </c>
      <c r="G857" s="2">
        <v>4</v>
      </c>
      <c r="H857" s="5">
        <v>30</v>
      </c>
      <c r="I857" s="5">
        <f t="shared" si="26"/>
        <v>120</v>
      </c>
      <c r="J857" s="2" t="str">
        <f>TEXT([1]retail_sales_cleaned_dataset!B857,"mmmm")</f>
        <v>November</v>
      </c>
      <c r="K857" s="2">
        <f>MONTH([1]retail_sales_cleaned_dataset!B857)</f>
        <v>11</v>
      </c>
      <c r="L857" s="2">
        <f>YEAR([1]retail_sales_cleaned_dataset!B857)</f>
        <v>2025</v>
      </c>
      <c r="M857" s="2" t="str">
        <f t="shared" si="27"/>
        <v>36-45</v>
      </c>
    </row>
    <row r="858" spans="1:13" x14ac:dyDescent="0.25">
      <c r="A858" s="2">
        <v>857</v>
      </c>
      <c r="B858" s="1">
        <v>45971</v>
      </c>
      <c r="C858" t="s">
        <v>624</v>
      </c>
      <c r="D858" t="s">
        <v>9</v>
      </c>
      <c r="E858">
        <v>50</v>
      </c>
      <c r="F858" s="2" t="s">
        <v>15</v>
      </c>
      <c r="G858" s="2">
        <v>2</v>
      </c>
      <c r="H858" s="5">
        <v>25</v>
      </c>
      <c r="I858" s="5">
        <f t="shared" si="26"/>
        <v>50</v>
      </c>
      <c r="J858" s="2" t="str">
        <f>TEXT([1]retail_sales_cleaned_dataset!B858,"mmmm")</f>
        <v>November</v>
      </c>
      <c r="K858" s="2">
        <f>MONTH([1]retail_sales_cleaned_dataset!B858)</f>
        <v>11</v>
      </c>
      <c r="L858" s="2">
        <f>YEAR([1]retail_sales_cleaned_dataset!B858)</f>
        <v>2025</v>
      </c>
      <c r="M858" s="2" t="str">
        <f t="shared" si="27"/>
        <v>46+</v>
      </c>
    </row>
    <row r="859" spans="1:13" x14ac:dyDescent="0.25">
      <c r="A859" s="2">
        <v>858</v>
      </c>
      <c r="B859" s="1">
        <v>45971</v>
      </c>
      <c r="C859" t="s">
        <v>625</v>
      </c>
      <c r="D859" t="s">
        <v>9</v>
      </c>
      <c r="E859">
        <v>51</v>
      </c>
      <c r="F859" s="2" t="s">
        <v>15</v>
      </c>
      <c r="G859" s="2">
        <v>2</v>
      </c>
      <c r="H859" s="5">
        <v>50</v>
      </c>
      <c r="I859" s="5">
        <f t="shared" si="26"/>
        <v>100</v>
      </c>
      <c r="J859" s="2" t="str">
        <f>TEXT([1]retail_sales_cleaned_dataset!B859,"mmmm")</f>
        <v>November</v>
      </c>
      <c r="K859" s="2">
        <f>MONTH([1]retail_sales_cleaned_dataset!B859)</f>
        <v>11</v>
      </c>
      <c r="L859" s="2">
        <f>YEAR([1]retail_sales_cleaned_dataset!B859)</f>
        <v>2025</v>
      </c>
      <c r="M859" s="2" t="str">
        <f t="shared" si="27"/>
        <v>46+</v>
      </c>
    </row>
    <row r="860" spans="1:13" x14ac:dyDescent="0.25">
      <c r="A860" s="2">
        <v>859</v>
      </c>
      <c r="B860" s="1">
        <v>45973</v>
      </c>
      <c r="C860" t="s">
        <v>425</v>
      </c>
      <c r="D860" t="s">
        <v>12</v>
      </c>
      <c r="E860">
        <v>61</v>
      </c>
      <c r="F860" s="2" t="s">
        <v>15</v>
      </c>
      <c r="G860" s="2">
        <v>3</v>
      </c>
      <c r="H860" s="5">
        <v>500</v>
      </c>
      <c r="I860" s="5">
        <f t="shared" si="26"/>
        <v>1500</v>
      </c>
      <c r="J860" s="2" t="str">
        <f>TEXT([1]retail_sales_cleaned_dataset!B860,"mmmm")</f>
        <v>November</v>
      </c>
      <c r="K860" s="2">
        <f>MONTH([1]retail_sales_cleaned_dataset!B860)</f>
        <v>11</v>
      </c>
      <c r="L860" s="2">
        <f>YEAR([1]retail_sales_cleaned_dataset!B860)</f>
        <v>2025</v>
      </c>
      <c r="M860" s="2" t="str">
        <f t="shared" si="27"/>
        <v>46+</v>
      </c>
    </row>
    <row r="861" spans="1:13" x14ac:dyDescent="0.25">
      <c r="A861" s="2">
        <v>860</v>
      </c>
      <c r="B861" s="1">
        <v>45973</v>
      </c>
      <c r="C861" t="s">
        <v>626</v>
      </c>
      <c r="D861" t="s">
        <v>12</v>
      </c>
      <c r="E861">
        <v>52</v>
      </c>
      <c r="F861" s="2" t="s">
        <v>13</v>
      </c>
      <c r="G861" s="2">
        <v>4</v>
      </c>
      <c r="H861" s="5">
        <v>50</v>
      </c>
      <c r="I861" s="5">
        <f t="shared" si="26"/>
        <v>200</v>
      </c>
      <c r="J861" s="2" t="str">
        <f>TEXT([1]retail_sales_cleaned_dataset!B861,"mmmm")</f>
        <v>November</v>
      </c>
      <c r="K861" s="2">
        <f>MONTH([1]retail_sales_cleaned_dataset!B861)</f>
        <v>11</v>
      </c>
      <c r="L861" s="2">
        <f>YEAR([1]retail_sales_cleaned_dataset!B861)</f>
        <v>2025</v>
      </c>
      <c r="M861" s="2" t="str">
        <f t="shared" si="27"/>
        <v>46+</v>
      </c>
    </row>
    <row r="862" spans="1:13" x14ac:dyDescent="0.25">
      <c r="A862" s="2">
        <v>861</v>
      </c>
      <c r="B862" s="1">
        <v>45974</v>
      </c>
      <c r="C862" t="s">
        <v>424</v>
      </c>
      <c r="D862" t="s">
        <v>12</v>
      </c>
      <c r="E862">
        <v>39</v>
      </c>
      <c r="F862" s="2" t="s">
        <v>13</v>
      </c>
      <c r="G862" s="2">
        <v>3</v>
      </c>
      <c r="H862" s="5">
        <v>30</v>
      </c>
      <c r="I862" s="5">
        <f t="shared" si="26"/>
        <v>90</v>
      </c>
      <c r="J862" s="2" t="str">
        <f>TEXT([1]retail_sales_cleaned_dataset!B862,"mmmm")</f>
        <v>November</v>
      </c>
      <c r="K862" s="2">
        <f>MONTH([1]retail_sales_cleaned_dataset!B862)</f>
        <v>11</v>
      </c>
      <c r="L862" s="2">
        <f>YEAR([1]retail_sales_cleaned_dataset!B862)</f>
        <v>2025</v>
      </c>
      <c r="M862" s="2" t="str">
        <f t="shared" si="27"/>
        <v>36-45</v>
      </c>
    </row>
    <row r="863" spans="1:13" x14ac:dyDescent="0.25">
      <c r="A863" s="2">
        <v>862</v>
      </c>
      <c r="B863" s="1">
        <v>45974</v>
      </c>
      <c r="C863" t="s">
        <v>627</v>
      </c>
      <c r="D863" t="s">
        <v>12</v>
      </c>
      <c r="E863">
        <v>61</v>
      </c>
      <c r="F863" s="2" t="s">
        <v>15</v>
      </c>
      <c r="G863" s="2">
        <v>4</v>
      </c>
      <c r="H863" s="5">
        <v>300</v>
      </c>
      <c r="I863" s="5">
        <f t="shared" si="26"/>
        <v>1200</v>
      </c>
      <c r="J863" s="2" t="str">
        <f>TEXT([1]retail_sales_cleaned_dataset!B863,"mmmm")</f>
        <v>November</v>
      </c>
      <c r="K863" s="2">
        <f>MONTH([1]retail_sales_cleaned_dataset!B863)</f>
        <v>11</v>
      </c>
      <c r="L863" s="2">
        <f>YEAR([1]retail_sales_cleaned_dataset!B863)</f>
        <v>2025</v>
      </c>
      <c r="M863" s="2" t="str">
        <f t="shared" si="27"/>
        <v>46+</v>
      </c>
    </row>
    <row r="864" spans="1:13" x14ac:dyDescent="0.25">
      <c r="A864" s="2">
        <v>863</v>
      </c>
      <c r="B864" s="1">
        <v>45975</v>
      </c>
      <c r="C864" t="s">
        <v>635</v>
      </c>
      <c r="D864" t="s">
        <v>9</v>
      </c>
      <c r="E864">
        <v>41</v>
      </c>
      <c r="F864" s="2" t="s">
        <v>15</v>
      </c>
      <c r="G864" s="2">
        <v>2</v>
      </c>
      <c r="H864" s="5">
        <v>25</v>
      </c>
      <c r="I864" s="5">
        <f t="shared" si="26"/>
        <v>50</v>
      </c>
      <c r="J864" s="2" t="str">
        <f>TEXT([1]retail_sales_cleaned_dataset!B864,"mmmm")</f>
        <v>November</v>
      </c>
      <c r="K864" s="2">
        <f>MONTH([1]retail_sales_cleaned_dataset!B864)</f>
        <v>11</v>
      </c>
      <c r="L864" s="2">
        <f>YEAR([1]retail_sales_cleaned_dataset!B864)</f>
        <v>2025</v>
      </c>
      <c r="M864" s="2" t="str">
        <f t="shared" si="27"/>
        <v>36-45</v>
      </c>
    </row>
    <row r="865" spans="1:13" x14ac:dyDescent="0.25">
      <c r="A865" s="2">
        <v>864</v>
      </c>
      <c r="B865" s="1">
        <v>45975</v>
      </c>
      <c r="C865" t="s">
        <v>628</v>
      </c>
      <c r="D865" t="s">
        <v>9</v>
      </c>
      <c r="E865">
        <v>34</v>
      </c>
      <c r="F865" s="2" t="s">
        <v>15</v>
      </c>
      <c r="G865" s="2">
        <v>1</v>
      </c>
      <c r="H865" s="5">
        <v>500</v>
      </c>
      <c r="I865" s="5">
        <f t="shared" si="26"/>
        <v>500</v>
      </c>
      <c r="J865" s="2" t="str">
        <f>TEXT([1]retail_sales_cleaned_dataset!B865,"mmmm")</f>
        <v>November</v>
      </c>
      <c r="K865" s="2">
        <f>MONTH([1]retail_sales_cleaned_dataset!B865)</f>
        <v>11</v>
      </c>
      <c r="L865" s="2">
        <f>YEAR([1]retail_sales_cleaned_dataset!B865)</f>
        <v>2025</v>
      </c>
      <c r="M865" s="2" t="str">
        <f t="shared" si="27"/>
        <v>26-35</v>
      </c>
    </row>
    <row r="866" spans="1:13" x14ac:dyDescent="0.25">
      <c r="A866" s="2">
        <v>865</v>
      </c>
      <c r="B866" s="1">
        <v>45975</v>
      </c>
      <c r="C866" t="s">
        <v>594</v>
      </c>
      <c r="D866" t="s">
        <v>12</v>
      </c>
      <c r="E866">
        <v>27</v>
      </c>
      <c r="F866" s="2" t="s">
        <v>13</v>
      </c>
      <c r="G866" s="2">
        <v>1</v>
      </c>
      <c r="H866" s="5">
        <v>300</v>
      </c>
      <c r="I866" s="5">
        <f t="shared" si="26"/>
        <v>300</v>
      </c>
      <c r="J866" s="2" t="str">
        <f>TEXT([1]retail_sales_cleaned_dataset!B866,"mmmm")</f>
        <v>November</v>
      </c>
      <c r="K866" s="2">
        <f>MONTH([1]retail_sales_cleaned_dataset!B866)</f>
        <v>11</v>
      </c>
      <c r="L866" s="2">
        <f>YEAR([1]retail_sales_cleaned_dataset!B866)</f>
        <v>2025</v>
      </c>
      <c r="M866" s="2" t="str">
        <f t="shared" si="27"/>
        <v>26-35</v>
      </c>
    </row>
    <row r="867" spans="1:13" x14ac:dyDescent="0.25">
      <c r="A867" s="2">
        <v>866</v>
      </c>
      <c r="B867" s="1">
        <v>45975</v>
      </c>
      <c r="C867" t="s">
        <v>629</v>
      </c>
      <c r="D867" t="s">
        <v>9</v>
      </c>
      <c r="E867">
        <v>47</v>
      </c>
      <c r="F867" s="2" t="s">
        <v>15</v>
      </c>
      <c r="G867" s="2">
        <v>1</v>
      </c>
      <c r="H867" s="5">
        <v>50</v>
      </c>
      <c r="I867" s="5">
        <f t="shared" si="26"/>
        <v>50</v>
      </c>
      <c r="J867" s="2" t="str">
        <f>TEXT([1]retail_sales_cleaned_dataset!B867,"mmmm")</f>
        <v>November</v>
      </c>
      <c r="K867" s="2">
        <f>MONTH([1]retail_sales_cleaned_dataset!B867)</f>
        <v>11</v>
      </c>
      <c r="L867" s="2">
        <f>YEAR([1]retail_sales_cleaned_dataset!B867)</f>
        <v>2025</v>
      </c>
      <c r="M867" s="2" t="str">
        <f t="shared" si="27"/>
        <v>46+</v>
      </c>
    </row>
    <row r="868" spans="1:13" x14ac:dyDescent="0.25">
      <c r="A868" s="2">
        <v>867</v>
      </c>
      <c r="B868" s="1">
        <v>45976</v>
      </c>
      <c r="C868" t="s">
        <v>597</v>
      </c>
      <c r="D868" t="s">
        <v>9</v>
      </c>
      <c r="E868">
        <v>63</v>
      </c>
      <c r="F868" s="2" t="s">
        <v>15</v>
      </c>
      <c r="G868" s="2">
        <v>1</v>
      </c>
      <c r="H868" s="5">
        <v>500</v>
      </c>
      <c r="I868" s="5">
        <f t="shared" si="26"/>
        <v>500</v>
      </c>
      <c r="J868" s="2" t="str">
        <f>TEXT([1]retail_sales_cleaned_dataset!B868,"mmmm")</f>
        <v>November</v>
      </c>
      <c r="K868" s="2">
        <f>MONTH([1]retail_sales_cleaned_dataset!B868)</f>
        <v>11</v>
      </c>
      <c r="L868" s="2">
        <f>YEAR([1]retail_sales_cleaned_dataset!B868)</f>
        <v>2025</v>
      </c>
      <c r="M868" s="2" t="str">
        <f t="shared" si="27"/>
        <v>46+</v>
      </c>
    </row>
    <row r="869" spans="1:13" x14ac:dyDescent="0.25">
      <c r="A869" s="2">
        <v>868</v>
      </c>
      <c r="B869" s="1">
        <v>45976</v>
      </c>
      <c r="C869" t="s">
        <v>630</v>
      </c>
      <c r="D869" t="s">
        <v>12</v>
      </c>
      <c r="E869">
        <v>40</v>
      </c>
      <c r="F869" s="2" t="s">
        <v>15</v>
      </c>
      <c r="G869" s="2">
        <v>1</v>
      </c>
      <c r="H869" s="5">
        <v>300</v>
      </c>
      <c r="I869" s="5">
        <f t="shared" si="26"/>
        <v>300</v>
      </c>
      <c r="J869" s="2" t="str">
        <f>TEXT([1]retail_sales_cleaned_dataset!B869,"mmmm")</f>
        <v>November</v>
      </c>
      <c r="K869" s="2">
        <f>MONTH([1]retail_sales_cleaned_dataset!B869)</f>
        <v>11</v>
      </c>
      <c r="L869" s="2">
        <f>YEAR([1]retail_sales_cleaned_dataset!B869)</f>
        <v>2025</v>
      </c>
      <c r="M869" s="2" t="str">
        <f t="shared" si="27"/>
        <v>36-45</v>
      </c>
    </row>
    <row r="870" spans="1:13" x14ac:dyDescent="0.25">
      <c r="A870" s="2">
        <v>869</v>
      </c>
      <c r="B870" s="1">
        <v>45976</v>
      </c>
      <c r="C870" t="s">
        <v>602</v>
      </c>
      <c r="D870" t="s">
        <v>12</v>
      </c>
      <c r="E870">
        <v>49</v>
      </c>
      <c r="F870" s="2" t="s">
        <v>10</v>
      </c>
      <c r="G870" s="2">
        <v>3</v>
      </c>
      <c r="H870" s="5">
        <v>500</v>
      </c>
      <c r="I870" s="5">
        <f t="shared" si="26"/>
        <v>1500</v>
      </c>
      <c r="J870" s="2" t="str">
        <f>TEXT([1]retail_sales_cleaned_dataset!B870,"mmmm")</f>
        <v>November</v>
      </c>
      <c r="K870" s="2">
        <f>MONTH([1]retail_sales_cleaned_dataset!B870)</f>
        <v>11</v>
      </c>
      <c r="L870" s="2">
        <f>YEAR([1]retail_sales_cleaned_dataset!B870)</f>
        <v>2025</v>
      </c>
      <c r="M870" s="2" t="str">
        <f t="shared" si="27"/>
        <v>46+</v>
      </c>
    </row>
    <row r="871" spans="1:13" x14ac:dyDescent="0.25">
      <c r="A871" s="2">
        <v>870</v>
      </c>
      <c r="B871" s="1">
        <v>45977</v>
      </c>
      <c r="C871" t="s">
        <v>631</v>
      </c>
      <c r="D871" t="s">
        <v>9</v>
      </c>
      <c r="E871">
        <v>34</v>
      </c>
      <c r="F871" s="2" t="s">
        <v>15</v>
      </c>
      <c r="G871" s="2">
        <v>4</v>
      </c>
      <c r="H871" s="5">
        <v>30</v>
      </c>
      <c r="I871" s="5">
        <f t="shared" si="26"/>
        <v>120</v>
      </c>
      <c r="J871" s="2" t="str">
        <f>TEXT([1]retail_sales_cleaned_dataset!B871,"mmmm")</f>
        <v>November</v>
      </c>
      <c r="K871" s="2">
        <f>MONTH([1]retail_sales_cleaned_dataset!B871)</f>
        <v>11</v>
      </c>
      <c r="L871" s="2">
        <f>YEAR([1]retail_sales_cleaned_dataset!B871)</f>
        <v>2025</v>
      </c>
      <c r="M871" s="2" t="str">
        <f t="shared" si="27"/>
        <v>26-35</v>
      </c>
    </row>
    <row r="872" spans="1:13" x14ac:dyDescent="0.25">
      <c r="A872" s="2">
        <v>871</v>
      </c>
      <c r="B872" s="1">
        <v>45978</v>
      </c>
      <c r="C872" t="s">
        <v>30</v>
      </c>
      <c r="D872" t="s">
        <v>12</v>
      </c>
      <c r="E872">
        <v>34</v>
      </c>
      <c r="F872" s="2" t="s">
        <v>10</v>
      </c>
      <c r="G872" s="2">
        <v>2</v>
      </c>
      <c r="H872" s="5">
        <v>30</v>
      </c>
      <c r="I872" s="5">
        <f t="shared" si="26"/>
        <v>60</v>
      </c>
      <c r="J872" s="2" t="str">
        <f>TEXT([1]retail_sales_cleaned_dataset!B872,"mmmm")</f>
        <v>November</v>
      </c>
      <c r="K872" s="2">
        <f>MONTH([1]retail_sales_cleaned_dataset!B872)</f>
        <v>11</v>
      </c>
      <c r="L872" s="2">
        <f>YEAR([1]retail_sales_cleaned_dataset!B872)</f>
        <v>2025</v>
      </c>
      <c r="M872" s="2" t="str">
        <f t="shared" si="27"/>
        <v>26-35</v>
      </c>
    </row>
    <row r="873" spans="1:13" x14ac:dyDescent="0.25">
      <c r="A873" s="2">
        <v>872</v>
      </c>
      <c r="B873" s="1">
        <v>45978</v>
      </c>
      <c r="C873" t="s">
        <v>632</v>
      </c>
      <c r="D873" t="s">
        <v>9</v>
      </c>
      <c r="E873">
        <v>31</v>
      </c>
      <c r="F873" s="2" t="s">
        <v>10</v>
      </c>
      <c r="G873" s="2">
        <v>3</v>
      </c>
      <c r="H873" s="5">
        <v>25</v>
      </c>
      <c r="I873" s="5">
        <f t="shared" si="26"/>
        <v>75</v>
      </c>
      <c r="J873" s="2" t="str">
        <f>TEXT([1]retail_sales_cleaned_dataset!B873,"mmmm")</f>
        <v>November</v>
      </c>
      <c r="K873" s="2">
        <f>MONTH([1]retail_sales_cleaned_dataset!B873)</f>
        <v>11</v>
      </c>
      <c r="L873" s="2">
        <f>YEAR([1]retail_sales_cleaned_dataset!B873)</f>
        <v>2025</v>
      </c>
      <c r="M873" s="2" t="str">
        <f t="shared" si="27"/>
        <v>26-35</v>
      </c>
    </row>
    <row r="874" spans="1:13" x14ac:dyDescent="0.25">
      <c r="A874" s="2">
        <v>873</v>
      </c>
      <c r="B874" s="1">
        <v>45978</v>
      </c>
      <c r="C874" t="s">
        <v>38</v>
      </c>
      <c r="D874" t="s">
        <v>12</v>
      </c>
      <c r="E874">
        <v>26</v>
      </c>
      <c r="F874" s="2" t="s">
        <v>15</v>
      </c>
      <c r="G874" s="2">
        <v>4</v>
      </c>
      <c r="H874" s="5">
        <v>25</v>
      </c>
      <c r="I874" s="5">
        <f t="shared" si="26"/>
        <v>100</v>
      </c>
      <c r="J874" s="2" t="str">
        <f>TEXT([1]retail_sales_cleaned_dataset!B874,"mmmm")</f>
        <v>November</v>
      </c>
      <c r="K874" s="2">
        <f>MONTH([1]retail_sales_cleaned_dataset!B874)</f>
        <v>11</v>
      </c>
      <c r="L874" s="2">
        <f>YEAR([1]retail_sales_cleaned_dataset!B874)</f>
        <v>2025</v>
      </c>
      <c r="M874" s="2" t="str">
        <f t="shared" si="27"/>
        <v>26-35</v>
      </c>
    </row>
    <row r="875" spans="1:13" x14ac:dyDescent="0.25">
      <c r="A875" s="2">
        <v>874</v>
      </c>
      <c r="B875" s="1">
        <v>45978</v>
      </c>
      <c r="C875" t="s">
        <v>633</v>
      </c>
      <c r="D875" t="s">
        <v>9</v>
      </c>
      <c r="E875">
        <v>50</v>
      </c>
      <c r="F875" s="2" t="s">
        <v>10</v>
      </c>
      <c r="G875" s="2">
        <v>1</v>
      </c>
      <c r="H875" s="5">
        <v>30</v>
      </c>
      <c r="I875" s="5">
        <f t="shared" si="26"/>
        <v>30</v>
      </c>
      <c r="J875" s="2" t="str">
        <f>TEXT([1]retail_sales_cleaned_dataset!B875,"mmmm")</f>
        <v>November</v>
      </c>
      <c r="K875" s="2">
        <f>MONTH([1]retail_sales_cleaned_dataset!B875)</f>
        <v>11</v>
      </c>
      <c r="L875" s="2">
        <f>YEAR([1]retail_sales_cleaned_dataset!B875)</f>
        <v>2025</v>
      </c>
      <c r="M875" s="2" t="str">
        <f t="shared" si="27"/>
        <v>46+</v>
      </c>
    </row>
    <row r="876" spans="1:13" x14ac:dyDescent="0.25">
      <c r="A876" s="2">
        <v>875</v>
      </c>
      <c r="B876" s="1">
        <v>45979</v>
      </c>
      <c r="C876" t="s">
        <v>125</v>
      </c>
      <c r="D876" t="s">
        <v>9</v>
      </c>
      <c r="E876">
        <v>30</v>
      </c>
      <c r="F876" s="2" t="s">
        <v>15</v>
      </c>
      <c r="G876" s="2">
        <v>4</v>
      </c>
      <c r="H876" s="5">
        <v>500</v>
      </c>
      <c r="I876" s="5">
        <f t="shared" si="26"/>
        <v>2000</v>
      </c>
      <c r="J876" s="2" t="str">
        <f>TEXT([1]retail_sales_cleaned_dataset!B876,"mmmm")</f>
        <v>November</v>
      </c>
      <c r="K876" s="2">
        <f>MONTH([1]retail_sales_cleaned_dataset!B876)</f>
        <v>11</v>
      </c>
      <c r="L876" s="2">
        <f>YEAR([1]retail_sales_cleaned_dataset!B876)</f>
        <v>2025</v>
      </c>
      <c r="M876" s="2" t="str">
        <f t="shared" si="27"/>
        <v>26-35</v>
      </c>
    </row>
    <row r="877" spans="1:13" x14ac:dyDescent="0.25">
      <c r="A877" s="2">
        <v>876</v>
      </c>
      <c r="B877" s="1">
        <v>45979</v>
      </c>
      <c r="C877" t="s">
        <v>634</v>
      </c>
      <c r="D877" t="s">
        <v>9</v>
      </c>
      <c r="E877">
        <v>63</v>
      </c>
      <c r="F877" s="2" t="s">
        <v>13</v>
      </c>
      <c r="G877" s="2">
        <v>4</v>
      </c>
      <c r="H877" s="5">
        <v>30</v>
      </c>
      <c r="I877" s="5">
        <f t="shared" si="26"/>
        <v>120</v>
      </c>
      <c r="J877" s="2" t="str">
        <f>TEXT([1]retail_sales_cleaned_dataset!B877,"mmmm")</f>
        <v>November</v>
      </c>
      <c r="K877" s="2">
        <f>MONTH([1]retail_sales_cleaned_dataset!B877)</f>
        <v>11</v>
      </c>
      <c r="L877" s="2">
        <f>YEAR([1]retail_sales_cleaned_dataset!B877)</f>
        <v>2025</v>
      </c>
      <c r="M877" s="2" t="str">
        <f t="shared" si="27"/>
        <v>46+</v>
      </c>
    </row>
    <row r="878" spans="1:13" x14ac:dyDescent="0.25">
      <c r="A878" s="2">
        <v>877</v>
      </c>
      <c r="B878" s="1">
        <v>45979</v>
      </c>
      <c r="C878" t="s">
        <v>223</v>
      </c>
      <c r="D878" t="s">
        <v>9</v>
      </c>
      <c r="E878">
        <v>22</v>
      </c>
      <c r="F878" s="2" t="s">
        <v>13</v>
      </c>
      <c r="G878" s="2">
        <v>1</v>
      </c>
      <c r="H878" s="5">
        <v>25</v>
      </c>
      <c r="I878" s="5">
        <f t="shared" si="26"/>
        <v>25</v>
      </c>
      <c r="J878" s="2" t="str">
        <f>TEXT([1]retail_sales_cleaned_dataset!B878,"mmmm")</f>
        <v>November</v>
      </c>
      <c r="K878" s="2">
        <f>MONTH([1]retail_sales_cleaned_dataset!B878)</f>
        <v>11</v>
      </c>
      <c r="L878" s="2">
        <f>YEAR([1]retail_sales_cleaned_dataset!B878)</f>
        <v>2025</v>
      </c>
      <c r="M878" s="2" t="str">
        <f t="shared" si="27"/>
        <v>18-25</v>
      </c>
    </row>
    <row r="879" spans="1:13" x14ac:dyDescent="0.25">
      <c r="A879" s="2">
        <v>878</v>
      </c>
      <c r="B879" s="1">
        <v>45980</v>
      </c>
      <c r="C879" t="s">
        <v>635</v>
      </c>
      <c r="D879" t="s">
        <v>12</v>
      </c>
      <c r="E879">
        <v>42</v>
      </c>
      <c r="F879" s="2" t="s">
        <v>13</v>
      </c>
      <c r="G879" s="2">
        <v>3</v>
      </c>
      <c r="H879" s="5">
        <v>30</v>
      </c>
      <c r="I879" s="5">
        <f t="shared" si="26"/>
        <v>90</v>
      </c>
      <c r="J879" s="2" t="str">
        <f>TEXT([1]retail_sales_cleaned_dataset!B879,"mmmm")</f>
        <v>November</v>
      </c>
      <c r="K879" s="2">
        <f>MONTH([1]retail_sales_cleaned_dataset!B879)</f>
        <v>11</v>
      </c>
      <c r="L879" s="2">
        <f>YEAR([1]retail_sales_cleaned_dataset!B879)</f>
        <v>2025</v>
      </c>
      <c r="M879" s="2" t="str">
        <f t="shared" si="27"/>
        <v>36-45</v>
      </c>
    </row>
    <row r="880" spans="1:13" x14ac:dyDescent="0.25">
      <c r="A880" s="2">
        <v>879</v>
      </c>
      <c r="B880" s="1">
        <v>45980</v>
      </c>
      <c r="C880" t="s">
        <v>636</v>
      </c>
      <c r="D880" t="s">
        <v>12</v>
      </c>
      <c r="E880">
        <v>47</v>
      </c>
      <c r="F880" s="2" t="s">
        <v>13</v>
      </c>
      <c r="G880" s="2">
        <v>1</v>
      </c>
      <c r="H880" s="5">
        <v>30</v>
      </c>
      <c r="I880" s="5">
        <f t="shared" si="26"/>
        <v>30</v>
      </c>
      <c r="J880" s="2" t="str">
        <f>TEXT([1]retail_sales_cleaned_dataset!B880,"mmmm")</f>
        <v>November</v>
      </c>
      <c r="K880" s="2">
        <f>MONTH([1]retail_sales_cleaned_dataset!B880)</f>
        <v>11</v>
      </c>
      <c r="L880" s="2">
        <f>YEAR([1]retail_sales_cleaned_dataset!B880)</f>
        <v>2025</v>
      </c>
      <c r="M880" s="2" t="str">
        <f t="shared" si="27"/>
        <v>46+</v>
      </c>
    </row>
    <row r="881" spans="1:13" x14ac:dyDescent="0.25">
      <c r="A881" s="2">
        <v>880</v>
      </c>
      <c r="B881" s="1">
        <v>45981</v>
      </c>
      <c r="C881" t="s">
        <v>637</v>
      </c>
      <c r="D881" t="s">
        <v>12</v>
      </c>
      <c r="E881">
        <v>28</v>
      </c>
      <c r="F881" s="2" t="s">
        <v>10</v>
      </c>
      <c r="G881" s="2">
        <v>2</v>
      </c>
      <c r="H881" s="5">
        <v>500</v>
      </c>
      <c r="I881" s="5">
        <f t="shared" si="26"/>
        <v>1000</v>
      </c>
      <c r="J881" s="2" t="str">
        <f>TEXT([1]retail_sales_cleaned_dataset!B881,"mmmm")</f>
        <v>November</v>
      </c>
      <c r="K881" s="2">
        <f>MONTH([1]retail_sales_cleaned_dataset!B881)</f>
        <v>11</v>
      </c>
      <c r="L881" s="2">
        <f>YEAR([1]retail_sales_cleaned_dataset!B881)</f>
        <v>2025</v>
      </c>
      <c r="M881" s="2" t="str">
        <f t="shared" si="27"/>
        <v>26-35</v>
      </c>
    </row>
    <row r="882" spans="1:13" x14ac:dyDescent="0.25">
      <c r="A882" s="2">
        <v>881</v>
      </c>
      <c r="B882" s="1">
        <v>45982</v>
      </c>
      <c r="C882" t="s">
        <v>638</v>
      </c>
      <c r="D882" t="s">
        <v>12</v>
      </c>
      <c r="E882">
        <v>42</v>
      </c>
      <c r="F882" s="2" t="s">
        <v>15</v>
      </c>
      <c r="G882" s="2">
        <v>1</v>
      </c>
      <c r="H882" s="5">
        <v>300</v>
      </c>
      <c r="I882" s="5">
        <f t="shared" si="26"/>
        <v>300</v>
      </c>
      <c r="J882" s="2" t="str">
        <f>TEXT([1]retail_sales_cleaned_dataset!B882,"mmmm")</f>
        <v>November</v>
      </c>
      <c r="K882" s="2">
        <f>MONTH([1]retail_sales_cleaned_dataset!B882)</f>
        <v>11</v>
      </c>
      <c r="L882" s="2">
        <f>YEAR([1]retail_sales_cleaned_dataset!B882)</f>
        <v>2025</v>
      </c>
      <c r="M882" s="2" t="str">
        <f t="shared" si="27"/>
        <v>36-45</v>
      </c>
    </row>
    <row r="883" spans="1:13" x14ac:dyDescent="0.25">
      <c r="A883" s="2">
        <v>882</v>
      </c>
      <c r="B883" s="1">
        <v>45982</v>
      </c>
      <c r="C883" t="s">
        <v>639</v>
      </c>
      <c r="D883" t="s">
        <v>9</v>
      </c>
      <c r="E883">
        <v>44</v>
      </c>
      <c r="F883" s="2" t="s">
        <v>15</v>
      </c>
      <c r="G883" s="2">
        <v>2</v>
      </c>
      <c r="H883" s="5">
        <v>25</v>
      </c>
      <c r="I883" s="5">
        <f t="shared" si="26"/>
        <v>50</v>
      </c>
      <c r="J883" s="2" t="str">
        <f>TEXT([1]retail_sales_cleaned_dataset!B883,"mmmm")</f>
        <v>November</v>
      </c>
      <c r="K883" s="2">
        <f>MONTH([1]retail_sales_cleaned_dataset!B883)</f>
        <v>11</v>
      </c>
      <c r="L883" s="2">
        <f>YEAR([1]retail_sales_cleaned_dataset!B883)</f>
        <v>2025</v>
      </c>
      <c r="M883" s="2" t="str">
        <f t="shared" si="27"/>
        <v>36-45</v>
      </c>
    </row>
    <row r="884" spans="1:13" x14ac:dyDescent="0.25">
      <c r="A884" s="2">
        <v>883</v>
      </c>
      <c r="B884" s="1">
        <v>45982</v>
      </c>
      <c r="C884" t="s">
        <v>640</v>
      </c>
      <c r="D884" t="s">
        <v>12</v>
      </c>
      <c r="E884">
        <v>50</v>
      </c>
      <c r="F884" s="2" t="s">
        <v>15</v>
      </c>
      <c r="G884" s="2">
        <v>1</v>
      </c>
      <c r="H884" s="5">
        <v>500</v>
      </c>
      <c r="I884" s="5">
        <f t="shared" si="26"/>
        <v>500</v>
      </c>
      <c r="J884" s="2" t="str">
        <f>TEXT([1]retail_sales_cleaned_dataset!B884,"mmmm")</f>
        <v>November</v>
      </c>
      <c r="K884" s="2">
        <f>MONTH([1]retail_sales_cleaned_dataset!B884)</f>
        <v>11</v>
      </c>
      <c r="L884" s="2">
        <f>YEAR([1]retail_sales_cleaned_dataset!B884)</f>
        <v>2025</v>
      </c>
      <c r="M884" s="2" t="str">
        <f t="shared" si="27"/>
        <v>46+</v>
      </c>
    </row>
    <row r="885" spans="1:13" x14ac:dyDescent="0.25">
      <c r="A885" s="2">
        <v>884</v>
      </c>
      <c r="B885" s="1">
        <v>45983</v>
      </c>
      <c r="C885" t="s">
        <v>641</v>
      </c>
      <c r="D885" t="s">
        <v>12</v>
      </c>
      <c r="E885">
        <v>55</v>
      </c>
      <c r="F885" s="2" t="s">
        <v>13</v>
      </c>
      <c r="G885" s="2">
        <v>2</v>
      </c>
      <c r="H885" s="5">
        <v>30</v>
      </c>
      <c r="I885" s="5">
        <f t="shared" si="26"/>
        <v>60</v>
      </c>
      <c r="J885" s="2" t="str">
        <f>TEXT([1]retail_sales_cleaned_dataset!B885,"mmmm")</f>
        <v>November</v>
      </c>
      <c r="K885" s="2">
        <f>MONTH([1]retail_sales_cleaned_dataset!B885)</f>
        <v>11</v>
      </c>
      <c r="L885" s="2">
        <f>YEAR([1]retail_sales_cleaned_dataset!B885)</f>
        <v>2025</v>
      </c>
      <c r="M885" s="2" t="str">
        <f t="shared" si="27"/>
        <v>46+</v>
      </c>
    </row>
    <row r="886" spans="1:13" x14ac:dyDescent="0.25">
      <c r="A886" s="2">
        <v>885</v>
      </c>
      <c r="B886" s="1">
        <v>45983</v>
      </c>
      <c r="C886" t="s">
        <v>642</v>
      </c>
      <c r="D886" t="s">
        <v>12</v>
      </c>
      <c r="E886">
        <v>20</v>
      </c>
      <c r="F886" s="2" t="s">
        <v>13</v>
      </c>
      <c r="G886" s="2">
        <v>4</v>
      </c>
      <c r="H886" s="5">
        <v>30</v>
      </c>
      <c r="I886" s="5">
        <f t="shared" si="26"/>
        <v>120</v>
      </c>
      <c r="J886" s="2" t="str">
        <f>TEXT([1]retail_sales_cleaned_dataset!B886,"mmmm")</f>
        <v>November</v>
      </c>
      <c r="K886" s="2">
        <f>MONTH([1]retail_sales_cleaned_dataset!B886)</f>
        <v>11</v>
      </c>
      <c r="L886" s="2">
        <f>YEAR([1]retail_sales_cleaned_dataset!B886)</f>
        <v>2025</v>
      </c>
      <c r="M886" s="2" t="str">
        <f t="shared" si="27"/>
        <v>18-25</v>
      </c>
    </row>
    <row r="887" spans="1:13" x14ac:dyDescent="0.25">
      <c r="A887" s="2">
        <v>886</v>
      </c>
      <c r="B887" s="1">
        <v>45983</v>
      </c>
      <c r="C887" t="s">
        <v>643</v>
      </c>
      <c r="D887" t="s">
        <v>9</v>
      </c>
      <c r="E887">
        <v>54</v>
      </c>
      <c r="F887" s="2" t="s">
        <v>15</v>
      </c>
      <c r="G887" s="2">
        <v>3</v>
      </c>
      <c r="H887" s="5">
        <v>300</v>
      </c>
      <c r="I887" s="5">
        <f t="shared" si="26"/>
        <v>900</v>
      </c>
      <c r="J887" s="2" t="str">
        <f>TEXT([1]retail_sales_cleaned_dataset!B887,"mmmm")</f>
        <v>November</v>
      </c>
      <c r="K887" s="2">
        <f>MONTH([1]retail_sales_cleaned_dataset!B887)</f>
        <v>11</v>
      </c>
      <c r="L887" s="2">
        <f>YEAR([1]retail_sales_cleaned_dataset!B887)</f>
        <v>2025</v>
      </c>
      <c r="M887" s="2" t="str">
        <f t="shared" si="27"/>
        <v>46+</v>
      </c>
    </row>
    <row r="888" spans="1:13" x14ac:dyDescent="0.25">
      <c r="A888" s="2">
        <v>887</v>
      </c>
      <c r="B888" s="1">
        <v>45984</v>
      </c>
      <c r="C888" t="s">
        <v>173</v>
      </c>
      <c r="D888" t="s">
        <v>12</v>
      </c>
      <c r="E888">
        <v>54</v>
      </c>
      <c r="F888" s="2" t="s">
        <v>13</v>
      </c>
      <c r="G888" s="2">
        <v>4</v>
      </c>
      <c r="H888" s="5">
        <v>25</v>
      </c>
      <c r="I888" s="5">
        <f t="shared" si="26"/>
        <v>100</v>
      </c>
      <c r="J888" s="2" t="str">
        <f>TEXT([1]retail_sales_cleaned_dataset!B888,"mmmm")</f>
        <v>November</v>
      </c>
      <c r="K888" s="2">
        <f>MONTH([1]retail_sales_cleaned_dataset!B888)</f>
        <v>11</v>
      </c>
      <c r="L888" s="2">
        <f>YEAR([1]retail_sales_cleaned_dataset!B888)</f>
        <v>2025</v>
      </c>
      <c r="M888" s="2" t="str">
        <f t="shared" si="27"/>
        <v>46+</v>
      </c>
    </row>
    <row r="889" spans="1:13" x14ac:dyDescent="0.25">
      <c r="A889" s="2">
        <v>888</v>
      </c>
      <c r="B889" s="1">
        <v>45984</v>
      </c>
      <c r="C889" t="s">
        <v>644</v>
      </c>
      <c r="D889" t="s">
        <v>9</v>
      </c>
      <c r="E889">
        <v>34</v>
      </c>
      <c r="F889" s="2" t="s">
        <v>15</v>
      </c>
      <c r="G889" s="2">
        <v>4</v>
      </c>
      <c r="H889" s="5">
        <v>25</v>
      </c>
      <c r="I889" s="5">
        <f t="shared" si="26"/>
        <v>100</v>
      </c>
      <c r="J889" s="2" t="str">
        <f>TEXT([1]retail_sales_cleaned_dataset!B889,"mmmm")</f>
        <v>November</v>
      </c>
      <c r="K889" s="2">
        <f>MONTH([1]retail_sales_cleaned_dataset!B889)</f>
        <v>11</v>
      </c>
      <c r="L889" s="2">
        <f>YEAR([1]retail_sales_cleaned_dataset!B889)</f>
        <v>2025</v>
      </c>
      <c r="M889" s="2" t="str">
        <f t="shared" si="27"/>
        <v>26-35</v>
      </c>
    </row>
    <row r="890" spans="1:13" x14ac:dyDescent="0.25">
      <c r="A890" s="2">
        <v>889</v>
      </c>
      <c r="B890" s="1">
        <v>45984</v>
      </c>
      <c r="C890" t="s">
        <v>272</v>
      </c>
      <c r="D890" t="s">
        <v>12</v>
      </c>
      <c r="E890">
        <v>38</v>
      </c>
      <c r="F890" s="2" t="s">
        <v>15</v>
      </c>
      <c r="G890" s="2">
        <v>1</v>
      </c>
      <c r="H890" s="5">
        <v>50</v>
      </c>
      <c r="I890" s="5">
        <f t="shared" si="26"/>
        <v>50</v>
      </c>
      <c r="J890" s="2" t="str">
        <f>TEXT([1]retail_sales_cleaned_dataset!B890,"mmmm")</f>
        <v>November</v>
      </c>
      <c r="K890" s="2">
        <f>MONTH([1]retail_sales_cleaned_dataset!B890)</f>
        <v>11</v>
      </c>
      <c r="L890" s="2">
        <f>YEAR([1]retail_sales_cleaned_dataset!B890)</f>
        <v>2025</v>
      </c>
      <c r="M890" s="2" t="str">
        <f t="shared" si="27"/>
        <v>36-45</v>
      </c>
    </row>
    <row r="891" spans="1:13" x14ac:dyDescent="0.25">
      <c r="A891" s="2">
        <v>890</v>
      </c>
      <c r="B891" s="1">
        <v>45985</v>
      </c>
      <c r="C891" t="s">
        <v>645</v>
      </c>
      <c r="D891" t="s">
        <v>9</v>
      </c>
      <c r="E891">
        <v>57</v>
      </c>
      <c r="F891" s="2" t="s">
        <v>15</v>
      </c>
      <c r="G891" s="2">
        <v>2</v>
      </c>
      <c r="H891" s="5">
        <v>25</v>
      </c>
      <c r="I891" s="5">
        <f t="shared" si="26"/>
        <v>50</v>
      </c>
      <c r="J891" s="2" t="str">
        <f>TEXT([1]retail_sales_cleaned_dataset!B891,"mmmm")</f>
        <v>November</v>
      </c>
      <c r="K891" s="2">
        <f>MONTH([1]retail_sales_cleaned_dataset!B891)</f>
        <v>11</v>
      </c>
      <c r="L891" s="2">
        <f>YEAR([1]retail_sales_cleaned_dataset!B891)</f>
        <v>2025</v>
      </c>
      <c r="M891" s="2" t="str">
        <f t="shared" si="27"/>
        <v>46+</v>
      </c>
    </row>
    <row r="892" spans="1:13" x14ac:dyDescent="0.25">
      <c r="A892" s="2">
        <v>891</v>
      </c>
      <c r="B892" s="1">
        <v>45985</v>
      </c>
      <c r="C892" t="s">
        <v>319</v>
      </c>
      <c r="D892" t="s">
        <v>9</v>
      </c>
      <c r="E892">
        <v>51</v>
      </c>
      <c r="F892" s="2" t="s">
        <v>15</v>
      </c>
      <c r="G892" s="2">
        <v>3</v>
      </c>
      <c r="H892" s="5">
        <v>300</v>
      </c>
      <c r="I892" s="5">
        <f t="shared" si="26"/>
        <v>900</v>
      </c>
      <c r="J892" s="2" t="str">
        <f>TEXT([1]retail_sales_cleaned_dataset!B892,"mmmm")</f>
        <v>November</v>
      </c>
      <c r="K892" s="2">
        <f>MONTH([1]retail_sales_cleaned_dataset!B892)</f>
        <v>11</v>
      </c>
      <c r="L892" s="2">
        <f>YEAR([1]retail_sales_cleaned_dataset!B892)</f>
        <v>2025</v>
      </c>
      <c r="M892" s="2" t="str">
        <f t="shared" si="27"/>
        <v>46+</v>
      </c>
    </row>
    <row r="893" spans="1:13" x14ac:dyDescent="0.25">
      <c r="A893" s="2">
        <v>892</v>
      </c>
      <c r="B893" s="1">
        <v>45985</v>
      </c>
      <c r="C893" t="s">
        <v>646</v>
      </c>
      <c r="D893" t="s">
        <v>12</v>
      </c>
      <c r="E893">
        <v>45</v>
      </c>
      <c r="F893" s="2" t="s">
        <v>15</v>
      </c>
      <c r="G893" s="2">
        <v>1</v>
      </c>
      <c r="H893" s="5">
        <v>50</v>
      </c>
      <c r="I893" s="5">
        <f t="shared" si="26"/>
        <v>50</v>
      </c>
      <c r="J893" s="2" t="str">
        <f>TEXT([1]retail_sales_cleaned_dataset!B893,"mmmm")</f>
        <v>November</v>
      </c>
      <c r="K893" s="2">
        <f>MONTH([1]retail_sales_cleaned_dataset!B893)</f>
        <v>11</v>
      </c>
      <c r="L893" s="2">
        <f>YEAR([1]retail_sales_cleaned_dataset!B893)</f>
        <v>2025</v>
      </c>
      <c r="M893" s="2" t="str">
        <f t="shared" si="27"/>
        <v>36-45</v>
      </c>
    </row>
    <row r="894" spans="1:13" x14ac:dyDescent="0.25">
      <c r="A894" s="2">
        <v>893</v>
      </c>
      <c r="B894" s="1">
        <v>45986</v>
      </c>
      <c r="C894" t="s">
        <v>225</v>
      </c>
      <c r="D894" t="s">
        <v>9</v>
      </c>
      <c r="E894">
        <v>25</v>
      </c>
      <c r="F894" s="2" t="s">
        <v>15</v>
      </c>
      <c r="G894" s="2">
        <v>1</v>
      </c>
      <c r="H894" s="5">
        <v>50</v>
      </c>
      <c r="I894" s="5">
        <f t="shared" si="26"/>
        <v>50</v>
      </c>
      <c r="J894" s="2" t="str">
        <f>TEXT([1]retail_sales_cleaned_dataset!B894,"mmmm")</f>
        <v>November</v>
      </c>
      <c r="K894" s="2">
        <f>MONTH([1]retail_sales_cleaned_dataset!B894)</f>
        <v>11</v>
      </c>
      <c r="L894" s="2">
        <f>YEAR([1]retail_sales_cleaned_dataset!B894)</f>
        <v>2025</v>
      </c>
      <c r="M894" s="2" t="str">
        <f t="shared" si="27"/>
        <v>18-25</v>
      </c>
    </row>
    <row r="895" spans="1:13" x14ac:dyDescent="0.25">
      <c r="A895" s="2">
        <v>894</v>
      </c>
      <c r="B895" s="1">
        <v>45986</v>
      </c>
      <c r="C895" t="s">
        <v>647</v>
      </c>
      <c r="D895" t="s">
        <v>12</v>
      </c>
      <c r="E895">
        <v>20</v>
      </c>
      <c r="F895" s="2" t="s">
        <v>15</v>
      </c>
      <c r="G895" s="2">
        <v>1</v>
      </c>
      <c r="H895" s="5">
        <v>30</v>
      </c>
      <c r="I895" s="5">
        <f t="shared" si="26"/>
        <v>30</v>
      </c>
      <c r="J895" s="2" t="str">
        <f>TEXT([1]retail_sales_cleaned_dataset!B895,"mmmm")</f>
        <v>November</v>
      </c>
      <c r="K895" s="2">
        <f>MONTH([1]retail_sales_cleaned_dataset!B895)</f>
        <v>11</v>
      </c>
      <c r="L895" s="2">
        <f>YEAR([1]retail_sales_cleaned_dataset!B895)</f>
        <v>2025</v>
      </c>
      <c r="M895" s="2" t="str">
        <f t="shared" si="27"/>
        <v>18-25</v>
      </c>
    </row>
    <row r="896" spans="1:13" x14ac:dyDescent="0.25">
      <c r="A896" s="2">
        <v>895</v>
      </c>
      <c r="B896" s="1">
        <v>45987</v>
      </c>
      <c r="C896" t="s">
        <v>592</v>
      </c>
      <c r="D896" t="s">
        <v>9</v>
      </c>
      <c r="E896">
        <v>29</v>
      </c>
      <c r="F896" s="2" t="s">
        <v>13</v>
      </c>
      <c r="G896" s="2">
        <v>4</v>
      </c>
      <c r="H896" s="5">
        <v>30</v>
      </c>
      <c r="I896" s="5">
        <f t="shared" si="26"/>
        <v>120</v>
      </c>
      <c r="J896" s="2" t="str">
        <f>TEXT([1]retail_sales_cleaned_dataset!B896,"mmmm")</f>
        <v>November</v>
      </c>
      <c r="K896" s="2">
        <f>MONTH([1]retail_sales_cleaned_dataset!B896)</f>
        <v>11</v>
      </c>
      <c r="L896" s="2">
        <f>YEAR([1]retail_sales_cleaned_dataset!B896)</f>
        <v>2025</v>
      </c>
      <c r="M896" s="2" t="str">
        <f t="shared" si="27"/>
        <v>26-35</v>
      </c>
    </row>
    <row r="897" spans="1:13" x14ac:dyDescent="0.25">
      <c r="A897" s="2">
        <v>896</v>
      </c>
      <c r="B897" s="1">
        <v>45987</v>
      </c>
      <c r="C897" t="s">
        <v>648</v>
      </c>
      <c r="D897" t="s">
        <v>12</v>
      </c>
      <c r="E897">
        <v>22</v>
      </c>
      <c r="F897" s="2" t="s">
        <v>15</v>
      </c>
      <c r="G897" s="2">
        <v>2</v>
      </c>
      <c r="H897" s="5">
        <v>25</v>
      </c>
      <c r="I897" s="5">
        <f t="shared" si="26"/>
        <v>50</v>
      </c>
      <c r="J897" s="2" t="str">
        <f>TEXT([1]retail_sales_cleaned_dataset!B897,"mmmm")</f>
        <v>November</v>
      </c>
      <c r="K897" s="2">
        <f>MONTH([1]retail_sales_cleaned_dataset!B897)</f>
        <v>11</v>
      </c>
      <c r="L897" s="2">
        <f>YEAR([1]retail_sales_cleaned_dataset!B897)</f>
        <v>2025</v>
      </c>
      <c r="M897" s="2" t="str">
        <f t="shared" si="27"/>
        <v>18-25</v>
      </c>
    </row>
    <row r="898" spans="1:13" x14ac:dyDescent="0.25">
      <c r="A898" s="2">
        <v>897</v>
      </c>
      <c r="B898" s="1">
        <v>45988</v>
      </c>
      <c r="C898" t="s">
        <v>627</v>
      </c>
      <c r="D898" t="s">
        <v>9</v>
      </c>
      <c r="E898">
        <v>40</v>
      </c>
      <c r="F898" s="2" t="s">
        <v>15</v>
      </c>
      <c r="G898" s="2">
        <v>2</v>
      </c>
      <c r="H898" s="5">
        <v>50</v>
      </c>
      <c r="I898" s="5">
        <f t="shared" ref="I898:I961" si="28">G898*H898</f>
        <v>100</v>
      </c>
      <c r="J898" s="2" t="str">
        <f>TEXT([1]retail_sales_cleaned_dataset!B898,"mmmm")</f>
        <v>November</v>
      </c>
      <c r="K898" s="2">
        <f>MONTH([1]retail_sales_cleaned_dataset!B898)</f>
        <v>11</v>
      </c>
      <c r="L898" s="2">
        <f>YEAR([1]retail_sales_cleaned_dataset!B898)</f>
        <v>2025</v>
      </c>
      <c r="M898" s="2" t="str">
        <f t="shared" ref="M898:M961" si="29">IF(E898&lt;=25,"18-25",IF(E898&lt;=35,"26-35",IF(E898&lt;=45,"36-45","46+")))</f>
        <v>36-45</v>
      </c>
    </row>
    <row r="899" spans="1:13" x14ac:dyDescent="0.25">
      <c r="A899" s="2">
        <v>898</v>
      </c>
      <c r="B899" s="1">
        <v>45988</v>
      </c>
      <c r="C899" t="s">
        <v>649</v>
      </c>
      <c r="D899" t="s">
        <v>9</v>
      </c>
      <c r="E899">
        <v>54</v>
      </c>
      <c r="F899" s="2" t="s">
        <v>13</v>
      </c>
      <c r="G899" s="2">
        <v>3</v>
      </c>
      <c r="H899" s="5">
        <v>30</v>
      </c>
      <c r="I899" s="5">
        <f t="shared" si="28"/>
        <v>90</v>
      </c>
      <c r="J899" s="2" t="str">
        <f>TEXT([1]retail_sales_cleaned_dataset!B899,"mmmm")</f>
        <v>November</v>
      </c>
      <c r="K899" s="2">
        <f>MONTH([1]retail_sales_cleaned_dataset!B899)</f>
        <v>11</v>
      </c>
      <c r="L899" s="2">
        <f>YEAR([1]retail_sales_cleaned_dataset!B899)</f>
        <v>2025</v>
      </c>
      <c r="M899" s="2" t="str">
        <f t="shared" si="29"/>
        <v>46+</v>
      </c>
    </row>
    <row r="900" spans="1:13" x14ac:dyDescent="0.25">
      <c r="A900" s="2">
        <v>899</v>
      </c>
      <c r="B900" s="1">
        <v>45988</v>
      </c>
      <c r="C900" t="s">
        <v>88</v>
      </c>
      <c r="D900" t="s">
        <v>12</v>
      </c>
      <c r="E900">
        <v>38</v>
      </c>
      <c r="F900" s="2" t="s">
        <v>13</v>
      </c>
      <c r="G900" s="2">
        <v>2</v>
      </c>
      <c r="H900" s="5">
        <v>300</v>
      </c>
      <c r="I900" s="5">
        <f t="shared" si="28"/>
        <v>600</v>
      </c>
      <c r="J900" s="2" t="str">
        <f>TEXT([1]retail_sales_cleaned_dataset!B900,"mmmm")</f>
        <v>November</v>
      </c>
      <c r="K900" s="2">
        <f>MONTH([1]retail_sales_cleaned_dataset!B900)</f>
        <v>11</v>
      </c>
      <c r="L900" s="2">
        <f>YEAR([1]retail_sales_cleaned_dataset!B900)</f>
        <v>2025</v>
      </c>
      <c r="M900" s="2" t="str">
        <f t="shared" si="29"/>
        <v>36-45</v>
      </c>
    </row>
    <row r="901" spans="1:13" x14ac:dyDescent="0.25">
      <c r="A901" s="2">
        <v>900</v>
      </c>
      <c r="B901" s="1">
        <v>45989</v>
      </c>
      <c r="C901" t="s">
        <v>650</v>
      </c>
      <c r="D901" t="s">
        <v>12</v>
      </c>
      <c r="E901">
        <v>55</v>
      </c>
      <c r="F901" s="2" t="s">
        <v>13</v>
      </c>
      <c r="G901" s="2">
        <v>2</v>
      </c>
      <c r="H901" s="5">
        <v>30</v>
      </c>
      <c r="I901" s="5">
        <f t="shared" si="28"/>
        <v>60</v>
      </c>
      <c r="J901" s="2" t="str">
        <f>TEXT([1]retail_sales_cleaned_dataset!B901,"mmmm")</f>
        <v>November</v>
      </c>
      <c r="K901" s="2">
        <f>MONTH([1]retail_sales_cleaned_dataset!B901)</f>
        <v>11</v>
      </c>
      <c r="L901" s="2">
        <f>YEAR([1]retail_sales_cleaned_dataset!B901)</f>
        <v>2025</v>
      </c>
      <c r="M901" s="2" t="str">
        <f t="shared" si="29"/>
        <v>46+</v>
      </c>
    </row>
    <row r="902" spans="1:13" x14ac:dyDescent="0.25">
      <c r="A902" s="2">
        <v>901</v>
      </c>
      <c r="B902" s="1">
        <v>45989</v>
      </c>
      <c r="C902" t="s">
        <v>151</v>
      </c>
      <c r="D902" t="s">
        <v>12</v>
      </c>
      <c r="E902">
        <v>51</v>
      </c>
      <c r="F902" s="2" t="s">
        <v>15</v>
      </c>
      <c r="G902" s="2">
        <v>1</v>
      </c>
      <c r="H902" s="5">
        <v>30</v>
      </c>
      <c r="I902" s="5">
        <f t="shared" si="28"/>
        <v>30</v>
      </c>
      <c r="J902" s="2" t="str">
        <f>TEXT([1]retail_sales_cleaned_dataset!B902,"mmmm")</f>
        <v>November</v>
      </c>
      <c r="K902" s="2">
        <f>MONTH([1]retail_sales_cleaned_dataset!B902)</f>
        <v>11</v>
      </c>
      <c r="L902" s="2">
        <f>YEAR([1]retail_sales_cleaned_dataset!B902)</f>
        <v>2025</v>
      </c>
      <c r="M902" s="2" t="str">
        <f t="shared" si="29"/>
        <v>46+</v>
      </c>
    </row>
    <row r="903" spans="1:13" x14ac:dyDescent="0.25">
      <c r="A903" s="2">
        <v>902</v>
      </c>
      <c r="B903" s="1">
        <v>45990</v>
      </c>
      <c r="C903" t="s">
        <v>651</v>
      </c>
      <c r="D903" t="s">
        <v>12</v>
      </c>
      <c r="E903">
        <v>55</v>
      </c>
      <c r="F903" s="2" t="s">
        <v>10</v>
      </c>
      <c r="G903" s="2">
        <v>1</v>
      </c>
      <c r="H903" s="5">
        <v>50</v>
      </c>
      <c r="I903" s="5">
        <f t="shared" si="28"/>
        <v>50</v>
      </c>
      <c r="J903" s="2" t="str">
        <f>TEXT([1]retail_sales_cleaned_dataset!B903,"mmmm")</f>
        <v>November</v>
      </c>
      <c r="K903" s="2">
        <f>MONTH([1]retail_sales_cleaned_dataset!B903)</f>
        <v>11</v>
      </c>
      <c r="L903" s="2">
        <f>YEAR([1]retail_sales_cleaned_dataset!B903)</f>
        <v>2025</v>
      </c>
      <c r="M903" s="2" t="str">
        <f t="shared" si="29"/>
        <v>46+</v>
      </c>
    </row>
    <row r="904" spans="1:13" x14ac:dyDescent="0.25">
      <c r="A904" s="2">
        <v>903</v>
      </c>
      <c r="B904" s="1">
        <v>45990</v>
      </c>
      <c r="C904" t="s">
        <v>270</v>
      </c>
      <c r="D904" t="s">
        <v>12</v>
      </c>
      <c r="E904">
        <v>51</v>
      </c>
      <c r="F904" s="2" t="s">
        <v>10</v>
      </c>
      <c r="G904" s="2">
        <v>4</v>
      </c>
      <c r="H904" s="5">
        <v>50</v>
      </c>
      <c r="I904" s="5">
        <f t="shared" si="28"/>
        <v>200</v>
      </c>
      <c r="J904" s="2" t="str">
        <f>TEXT([1]retail_sales_cleaned_dataset!B904,"mmmm")</f>
        <v>November</v>
      </c>
      <c r="K904" s="2">
        <f>MONTH([1]retail_sales_cleaned_dataset!B904)</f>
        <v>11</v>
      </c>
      <c r="L904" s="2">
        <f>YEAR([1]retail_sales_cleaned_dataset!B904)</f>
        <v>2025</v>
      </c>
      <c r="M904" s="2" t="str">
        <f t="shared" si="29"/>
        <v>46+</v>
      </c>
    </row>
    <row r="905" spans="1:13" x14ac:dyDescent="0.25">
      <c r="A905" s="2">
        <v>904</v>
      </c>
      <c r="B905" s="1">
        <v>45990</v>
      </c>
      <c r="C905" t="s">
        <v>652</v>
      </c>
      <c r="D905" t="s">
        <v>12</v>
      </c>
      <c r="E905">
        <v>50</v>
      </c>
      <c r="F905" s="2" t="s">
        <v>13</v>
      </c>
      <c r="G905" s="2">
        <v>1</v>
      </c>
      <c r="H905" s="5">
        <v>500</v>
      </c>
      <c r="I905" s="5">
        <f t="shared" si="28"/>
        <v>500</v>
      </c>
      <c r="J905" s="2" t="str">
        <f>TEXT([1]retail_sales_cleaned_dataset!B905,"mmmm")</f>
        <v>November</v>
      </c>
      <c r="K905" s="2">
        <f>MONTH([1]retail_sales_cleaned_dataset!B905)</f>
        <v>11</v>
      </c>
      <c r="L905" s="2">
        <f>YEAR([1]retail_sales_cleaned_dataset!B905)</f>
        <v>2025</v>
      </c>
      <c r="M905" s="2" t="str">
        <f t="shared" si="29"/>
        <v>46+</v>
      </c>
    </row>
    <row r="906" spans="1:13" x14ac:dyDescent="0.25">
      <c r="A906" s="2">
        <v>905</v>
      </c>
      <c r="B906" s="1">
        <v>45991</v>
      </c>
      <c r="C906" t="s">
        <v>653</v>
      </c>
      <c r="D906" t="s">
        <v>9</v>
      </c>
      <c r="E906">
        <v>41</v>
      </c>
      <c r="F906" s="2" t="s">
        <v>10</v>
      </c>
      <c r="G906" s="2">
        <v>1</v>
      </c>
      <c r="H906" s="5">
        <v>300</v>
      </c>
      <c r="I906" s="5">
        <f t="shared" si="28"/>
        <v>300</v>
      </c>
      <c r="J906" s="2" t="str">
        <f>TEXT([1]retail_sales_cleaned_dataset!B906,"mmmm")</f>
        <v>November</v>
      </c>
      <c r="K906" s="2">
        <f>MONTH([1]retail_sales_cleaned_dataset!B906)</f>
        <v>11</v>
      </c>
      <c r="L906" s="2">
        <f>YEAR([1]retail_sales_cleaned_dataset!B906)</f>
        <v>2025</v>
      </c>
      <c r="M906" s="2" t="str">
        <f t="shared" si="29"/>
        <v>36-45</v>
      </c>
    </row>
    <row r="907" spans="1:13" x14ac:dyDescent="0.25">
      <c r="A907" s="2">
        <v>906</v>
      </c>
      <c r="B907" s="1">
        <v>45991</v>
      </c>
      <c r="C907" t="s">
        <v>654</v>
      </c>
      <c r="D907" t="s">
        <v>12</v>
      </c>
      <c r="E907">
        <v>22</v>
      </c>
      <c r="F907" s="2" t="s">
        <v>13</v>
      </c>
      <c r="G907" s="2">
        <v>1</v>
      </c>
      <c r="H907" s="5">
        <v>50</v>
      </c>
      <c r="I907" s="5">
        <f t="shared" si="28"/>
        <v>50</v>
      </c>
      <c r="J907" s="2" t="str">
        <f>TEXT([1]retail_sales_cleaned_dataset!B907,"mmmm")</f>
        <v>November</v>
      </c>
      <c r="K907" s="2">
        <f>MONTH([1]retail_sales_cleaned_dataset!B907)</f>
        <v>11</v>
      </c>
      <c r="L907" s="2">
        <f>YEAR([1]retail_sales_cleaned_dataset!B907)</f>
        <v>2025</v>
      </c>
      <c r="M907" s="2" t="str">
        <f t="shared" si="29"/>
        <v>18-25</v>
      </c>
    </row>
    <row r="908" spans="1:13" x14ac:dyDescent="0.25">
      <c r="A908" s="2">
        <v>907</v>
      </c>
      <c r="B908" s="1">
        <v>45991</v>
      </c>
      <c r="C908" t="s">
        <v>655</v>
      </c>
      <c r="D908" t="s">
        <v>12</v>
      </c>
      <c r="E908">
        <v>34</v>
      </c>
      <c r="F908" s="2" t="s">
        <v>15</v>
      </c>
      <c r="G908" s="2">
        <v>1</v>
      </c>
      <c r="H908" s="5">
        <v>25</v>
      </c>
      <c r="I908" s="5">
        <f t="shared" si="28"/>
        <v>25</v>
      </c>
      <c r="J908" s="2" t="str">
        <f>TEXT([1]retail_sales_cleaned_dataset!B908,"mmmm")</f>
        <v>November</v>
      </c>
      <c r="K908" s="2">
        <f>MONTH([1]retail_sales_cleaned_dataset!B908)</f>
        <v>11</v>
      </c>
      <c r="L908" s="2">
        <f>YEAR([1]retail_sales_cleaned_dataset!B908)</f>
        <v>2025</v>
      </c>
      <c r="M908" s="2" t="str">
        <f t="shared" si="29"/>
        <v>26-35</v>
      </c>
    </row>
    <row r="909" spans="1:13" x14ac:dyDescent="0.25">
      <c r="A909" s="2">
        <v>908</v>
      </c>
      <c r="B909" s="1">
        <v>45992</v>
      </c>
      <c r="C909" t="s">
        <v>656</v>
      </c>
      <c r="D909" t="s">
        <v>12</v>
      </c>
      <c r="E909">
        <v>34</v>
      </c>
      <c r="F909" s="2" t="s">
        <v>10</v>
      </c>
      <c r="G909" s="2">
        <v>4</v>
      </c>
      <c r="H909" s="5">
        <v>300</v>
      </c>
      <c r="I909" s="5">
        <f t="shared" si="28"/>
        <v>1200</v>
      </c>
      <c r="J909" s="2" t="str">
        <f>TEXT([1]retail_sales_cleaned_dataset!B909,"mmmm")</f>
        <v>December</v>
      </c>
      <c r="K909" s="2">
        <f>MONTH([1]retail_sales_cleaned_dataset!B909)</f>
        <v>12</v>
      </c>
      <c r="L909" s="2">
        <f>YEAR([1]retail_sales_cleaned_dataset!B909)</f>
        <v>2025</v>
      </c>
      <c r="M909" s="2" t="str">
        <f t="shared" si="29"/>
        <v>26-35</v>
      </c>
    </row>
    <row r="910" spans="1:13" x14ac:dyDescent="0.25">
      <c r="A910" s="2">
        <v>909</v>
      </c>
      <c r="B910" s="1">
        <v>45992</v>
      </c>
      <c r="C910" t="s">
        <v>189</v>
      </c>
      <c r="D910" t="s">
        <v>12</v>
      </c>
      <c r="E910">
        <v>41</v>
      </c>
      <c r="F910" s="2" t="s">
        <v>15</v>
      </c>
      <c r="G910" s="2">
        <v>1</v>
      </c>
      <c r="H910" s="5">
        <v>300</v>
      </c>
      <c r="I910" s="5">
        <f t="shared" si="28"/>
        <v>300</v>
      </c>
      <c r="J910" s="2" t="str">
        <f>TEXT([1]retail_sales_cleaned_dataset!B910,"mmmm")</f>
        <v>December</v>
      </c>
      <c r="K910" s="2">
        <f>MONTH([1]retail_sales_cleaned_dataset!B910)</f>
        <v>12</v>
      </c>
      <c r="L910" s="2">
        <f>YEAR([1]retail_sales_cleaned_dataset!B910)</f>
        <v>2025</v>
      </c>
      <c r="M910" s="2" t="str">
        <f t="shared" si="29"/>
        <v>36-45</v>
      </c>
    </row>
    <row r="911" spans="1:13" x14ac:dyDescent="0.25">
      <c r="A911" s="2">
        <v>910</v>
      </c>
      <c r="B911" s="1">
        <v>45993</v>
      </c>
      <c r="C911" t="s">
        <v>657</v>
      </c>
      <c r="D911" t="s">
        <v>9</v>
      </c>
      <c r="E911">
        <v>19</v>
      </c>
      <c r="F911" s="2" t="s">
        <v>10</v>
      </c>
      <c r="G911" s="2">
        <v>3</v>
      </c>
      <c r="H911" s="5">
        <v>50</v>
      </c>
      <c r="I911" s="5">
        <f t="shared" si="28"/>
        <v>150</v>
      </c>
      <c r="J911" s="2" t="str">
        <f>TEXT([1]retail_sales_cleaned_dataset!B911,"mmmm")</f>
        <v>December</v>
      </c>
      <c r="K911" s="2">
        <f>MONTH([1]retail_sales_cleaned_dataset!B911)</f>
        <v>12</v>
      </c>
      <c r="L911" s="2">
        <f>YEAR([1]retail_sales_cleaned_dataset!B911)</f>
        <v>2025</v>
      </c>
      <c r="M911" s="2" t="str">
        <f t="shared" si="29"/>
        <v>18-25</v>
      </c>
    </row>
    <row r="912" spans="1:13" x14ac:dyDescent="0.25">
      <c r="A912" s="2">
        <v>911</v>
      </c>
      <c r="B912" s="1">
        <v>45993</v>
      </c>
      <c r="C912" t="s">
        <v>290</v>
      </c>
      <c r="D912" t="s">
        <v>12</v>
      </c>
      <c r="E912">
        <v>30</v>
      </c>
      <c r="F912" s="2" t="s">
        <v>15</v>
      </c>
      <c r="G912" s="2">
        <v>3</v>
      </c>
      <c r="H912" s="5">
        <v>300</v>
      </c>
      <c r="I912" s="5">
        <f t="shared" si="28"/>
        <v>900</v>
      </c>
      <c r="J912" s="2" t="str">
        <f>TEXT([1]retail_sales_cleaned_dataset!B912,"mmmm")</f>
        <v>December</v>
      </c>
      <c r="K912" s="2">
        <f>MONTH([1]retail_sales_cleaned_dataset!B912)</f>
        <v>12</v>
      </c>
      <c r="L912" s="2">
        <f>YEAR([1]retail_sales_cleaned_dataset!B912)</f>
        <v>2025</v>
      </c>
      <c r="M912" s="2" t="str">
        <f t="shared" si="29"/>
        <v>26-35</v>
      </c>
    </row>
    <row r="913" spans="1:13" x14ac:dyDescent="0.25">
      <c r="A913" s="2">
        <v>912</v>
      </c>
      <c r="B913" s="1">
        <v>45993</v>
      </c>
      <c r="C913" t="s">
        <v>658</v>
      </c>
      <c r="D913" t="s">
        <v>12</v>
      </c>
      <c r="E913">
        <v>28</v>
      </c>
      <c r="F913" s="2" t="s">
        <v>10</v>
      </c>
      <c r="G913" s="2">
        <v>3</v>
      </c>
      <c r="H913" s="5">
        <v>50</v>
      </c>
      <c r="I913" s="5">
        <f t="shared" si="28"/>
        <v>150</v>
      </c>
      <c r="J913" s="2" t="str">
        <f>TEXT([1]retail_sales_cleaned_dataset!B913,"mmmm")</f>
        <v>December</v>
      </c>
      <c r="K913" s="2">
        <f>MONTH([1]retail_sales_cleaned_dataset!B913)</f>
        <v>12</v>
      </c>
      <c r="L913" s="2">
        <f>YEAR([1]retail_sales_cleaned_dataset!B913)</f>
        <v>2025</v>
      </c>
      <c r="M913" s="2" t="str">
        <f t="shared" si="29"/>
        <v>26-35</v>
      </c>
    </row>
    <row r="914" spans="1:13" x14ac:dyDescent="0.25">
      <c r="A914" s="2">
        <v>913</v>
      </c>
      <c r="B914" s="1">
        <v>45994</v>
      </c>
      <c r="C914" t="s">
        <v>365</v>
      </c>
      <c r="D914" t="s">
        <v>9</v>
      </c>
      <c r="E914">
        <v>64</v>
      </c>
      <c r="F914" s="2" t="s">
        <v>15</v>
      </c>
      <c r="G914" s="2">
        <v>3</v>
      </c>
      <c r="H914" s="5">
        <v>30</v>
      </c>
      <c r="I914" s="5">
        <f t="shared" si="28"/>
        <v>90</v>
      </c>
      <c r="J914" s="2" t="str">
        <f>TEXT([1]retail_sales_cleaned_dataset!B914,"mmmm")</f>
        <v>December</v>
      </c>
      <c r="K914" s="2">
        <f>MONTH([1]retail_sales_cleaned_dataset!B914)</f>
        <v>12</v>
      </c>
      <c r="L914" s="2">
        <f>YEAR([1]retail_sales_cleaned_dataset!B914)</f>
        <v>2025</v>
      </c>
      <c r="M914" s="2" t="str">
        <f t="shared" si="29"/>
        <v>46+</v>
      </c>
    </row>
    <row r="915" spans="1:13" x14ac:dyDescent="0.25">
      <c r="A915" s="2">
        <v>914</v>
      </c>
      <c r="B915" s="1">
        <v>45995</v>
      </c>
      <c r="C915" t="s">
        <v>659</v>
      </c>
      <c r="D915" t="s">
        <v>12</v>
      </c>
      <c r="E915">
        <v>40</v>
      </c>
      <c r="F915" s="2" t="s">
        <v>15</v>
      </c>
      <c r="G915" s="2">
        <v>1</v>
      </c>
      <c r="H915" s="5">
        <v>500</v>
      </c>
      <c r="I915" s="5">
        <f t="shared" si="28"/>
        <v>500</v>
      </c>
      <c r="J915" s="2" t="str">
        <f>TEXT([1]retail_sales_cleaned_dataset!B915,"mmmm")</f>
        <v>December</v>
      </c>
      <c r="K915" s="2">
        <f>MONTH([1]retail_sales_cleaned_dataset!B915)</f>
        <v>12</v>
      </c>
      <c r="L915" s="2">
        <f>YEAR([1]retail_sales_cleaned_dataset!B915)</f>
        <v>2025</v>
      </c>
      <c r="M915" s="2" t="str">
        <f t="shared" si="29"/>
        <v>36-45</v>
      </c>
    </row>
    <row r="916" spans="1:13" x14ac:dyDescent="0.25">
      <c r="A916" s="2">
        <v>915</v>
      </c>
      <c r="B916" s="1">
        <v>45995</v>
      </c>
      <c r="C916" t="s">
        <v>190</v>
      </c>
      <c r="D916" t="s">
        <v>9</v>
      </c>
      <c r="E916">
        <v>42</v>
      </c>
      <c r="F916" s="2" t="s">
        <v>10</v>
      </c>
      <c r="G916" s="2">
        <v>3</v>
      </c>
      <c r="H916" s="5">
        <v>30</v>
      </c>
      <c r="I916" s="5">
        <f t="shared" si="28"/>
        <v>90</v>
      </c>
      <c r="J916" s="2" t="str">
        <f>TEXT([1]retail_sales_cleaned_dataset!B916,"mmmm")</f>
        <v>December</v>
      </c>
      <c r="K916" s="2">
        <f>MONTH([1]retail_sales_cleaned_dataset!B916)</f>
        <v>12</v>
      </c>
      <c r="L916" s="2">
        <f>YEAR([1]retail_sales_cleaned_dataset!B916)</f>
        <v>2025</v>
      </c>
      <c r="M916" s="2" t="str">
        <f t="shared" si="29"/>
        <v>36-45</v>
      </c>
    </row>
    <row r="917" spans="1:13" x14ac:dyDescent="0.25">
      <c r="A917" s="2">
        <v>916</v>
      </c>
      <c r="B917" s="1">
        <v>45995</v>
      </c>
      <c r="C917" t="s">
        <v>660</v>
      </c>
      <c r="D917" t="s">
        <v>9</v>
      </c>
      <c r="E917">
        <v>20</v>
      </c>
      <c r="F917" s="2" t="s">
        <v>15</v>
      </c>
      <c r="G917" s="2">
        <v>1</v>
      </c>
      <c r="H917" s="5">
        <v>50</v>
      </c>
      <c r="I917" s="5">
        <f t="shared" si="28"/>
        <v>50</v>
      </c>
      <c r="J917" s="2" t="str">
        <f>TEXT([1]retail_sales_cleaned_dataset!B917,"mmmm")</f>
        <v>December</v>
      </c>
      <c r="K917" s="2">
        <f>MONTH([1]retail_sales_cleaned_dataset!B917)</f>
        <v>12</v>
      </c>
      <c r="L917" s="2">
        <f>YEAR([1]retail_sales_cleaned_dataset!B917)</f>
        <v>2025</v>
      </c>
      <c r="M917" s="2" t="str">
        <f t="shared" si="29"/>
        <v>18-25</v>
      </c>
    </row>
    <row r="918" spans="1:13" x14ac:dyDescent="0.25">
      <c r="A918" s="2">
        <v>917</v>
      </c>
      <c r="B918" s="1">
        <v>45995</v>
      </c>
      <c r="C918" t="s">
        <v>291</v>
      </c>
      <c r="D918" t="s">
        <v>9</v>
      </c>
      <c r="E918">
        <v>49</v>
      </c>
      <c r="F918" s="2" t="s">
        <v>15</v>
      </c>
      <c r="G918" s="2">
        <v>4</v>
      </c>
      <c r="H918" s="5">
        <v>50</v>
      </c>
      <c r="I918" s="5">
        <f t="shared" si="28"/>
        <v>200</v>
      </c>
      <c r="J918" s="2" t="str">
        <f>TEXT([1]retail_sales_cleaned_dataset!B918,"mmmm")</f>
        <v>December</v>
      </c>
      <c r="K918" s="2">
        <f>MONTH([1]retail_sales_cleaned_dataset!B918)</f>
        <v>12</v>
      </c>
      <c r="L918" s="2">
        <f>YEAR([1]retail_sales_cleaned_dataset!B918)</f>
        <v>2025</v>
      </c>
      <c r="M918" s="2" t="str">
        <f t="shared" si="29"/>
        <v>46+</v>
      </c>
    </row>
    <row r="919" spans="1:13" x14ac:dyDescent="0.25">
      <c r="A919" s="2">
        <v>918</v>
      </c>
      <c r="B919" s="1">
        <v>45996</v>
      </c>
      <c r="C919" t="s">
        <v>661</v>
      </c>
      <c r="D919" t="s">
        <v>9</v>
      </c>
      <c r="E919">
        <v>44</v>
      </c>
      <c r="F919" s="2" t="s">
        <v>15</v>
      </c>
      <c r="G919" s="2">
        <v>3</v>
      </c>
      <c r="H919" s="5">
        <v>30</v>
      </c>
      <c r="I919" s="5">
        <f t="shared" si="28"/>
        <v>90</v>
      </c>
      <c r="J919" s="2" t="str">
        <f>TEXT([1]retail_sales_cleaned_dataset!B919,"mmmm")</f>
        <v>December</v>
      </c>
      <c r="K919" s="2">
        <f>MONTH([1]retail_sales_cleaned_dataset!B919)</f>
        <v>12</v>
      </c>
      <c r="L919" s="2">
        <f>YEAR([1]retail_sales_cleaned_dataset!B919)</f>
        <v>2025</v>
      </c>
      <c r="M919" s="2" t="str">
        <f t="shared" si="29"/>
        <v>36-45</v>
      </c>
    </row>
    <row r="920" spans="1:13" x14ac:dyDescent="0.25">
      <c r="A920" s="2">
        <v>919</v>
      </c>
      <c r="B920" s="1">
        <v>45996</v>
      </c>
      <c r="C920" t="s">
        <v>366</v>
      </c>
      <c r="D920" t="s">
        <v>9</v>
      </c>
      <c r="E920">
        <v>38</v>
      </c>
      <c r="F920" s="2" t="s">
        <v>10</v>
      </c>
      <c r="G920" s="2">
        <v>2</v>
      </c>
      <c r="H920" s="5">
        <v>25</v>
      </c>
      <c r="I920" s="5">
        <f t="shared" si="28"/>
        <v>50</v>
      </c>
      <c r="J920" s="2" t="str">
        <f>TEXT([1]retail_sales_cleaned_dataset!B920,"mmmm")</f>
        <v>December</v>
      </c>
      <c r="K920" s="2">
        <f>MONTH([1]retail_sales_cleaned_dataset!B920)</f>
        <v>12</v>
      </c>
      <c r="L920" s="2">
        <f>YEAR([1]retail_sales_cleaned_dataset!B920)</f>
        <v>2025</v>
      </c>
      <c r="M920" s="2" t="str">
        <f t="shared" si="29"/>
        <v>36-45</v>
      </c>
    </row>
    <row r="921" spans="1:13" x14ac:dyDescent="0.25">
      <c r="A921" s="2">
        <v>920</v>
      </c>
      <c r="B921" s="1">
        <v>45996</v>
      </c>
      <c r="C921" t="s">
        <v>662</v>
      </c>
      <c r="D921" t="s">
        <v>12</v>
      </c>
      <c r="E921">
        <v>22</v>
      </c>
      <c r="F921" s="2" t="s">
        <v>10</v>
      </c>
      <c r="G921" s="2">
        <v>3</v>
      </c>
      <c r="H921" s="5">
        <v>25</v>
      </c>
      <c r="I921" s="5">
        <f t="shared" si="28"/>
        <v>75</v>
      </c>
      <c r="J921" s="2" t="str">
        <f>TEXT([1]retail_sales_cleaned_dataset!B921,"mmmm")</f>
        <v>December</v>
      </c>
      <c r="K921" s="2">
        <f>MONTH([1]retail_sales_cleaned_dataset!B921)</f>
        <v>12</v>
      </c>
      <c r="L921" s="2">
        <f>YEAR([1]retail_sales_cleaned_dataset!B921)</f>
        <v>2025</v>
      </c>
      <c r="M921" s="2" t="str">
        <f t="shared" si="29"/>
        <v>18-25</v>
      </c>
    </row>
    <row r="922" spans="1:13" x14ac:dyDescent="0.25">
      <c r="A922" s="2">
        <v>921</v>
      </c>
      <c r="B922" s="1">
        <v>45996</v>
      </c>
      <c r="C922" t="s">
        <v>194</v>
      </c>
      <c r="D922" t="s">
        <v>9</v>
      </c>
      <c r="E922">
        <v>35</v>
      </c>
      <c r="F922" s="2" t="s">
        <v>15</v>
      </c>
      <c r="G922" s="2">
        <v>3</v>
      </c>
      <c r="H922" s="5">
        <v>25</v>
      </c>
      <c r="I922" s="5">
        <f t="shared" si="28"/>
        <v>75</v>
      </c>
      <c r="J922" s="2" t="str">
        <f>TEXT([1]retail_sales_cleaned_dataset!B922,"mmmm")</f>
        <v>December</v>
      </c>
      <c r="K922" s="2">
        <f>MONTH([1]retail_sales_cleaned_dataset!B922)</f>
        <v>12</v>
      </c>
      <c r="L922" s="2">
        <f>YEAR([1]retail_sales_cleaned_dataset!B922)</f>
        <v>2025</v>
      </c>
      <c r="M922" s="2" t="str">
        <f t="shared" si="29"/>
        <v>26-35</v>
      </c>
    </row>
    <row r="923" spans="1:13" x14ac:dyDescent="0.25">
      <c r="A923" s="2">
        <v>922</v>
      </c>
      <c r="B923" s="1">
        <v>45996</v>
      </c>
      <c r="C923" t="s">
        <v>663</v>
      </c>
      <c r="D923" t="s">
        <v>9</v>
      </c>
      <c r="E923">
        <v>23</v>
      </c>
      <c r="F923" s="2" t="s">
        <v>15</v>
      </c>
      <c r="G923" s="2">
        <v>1</v>
      </c>
      <c r="H923" s="5">
        <v>50</v>
      </c>
      <c r="I923" s="5">
        <f t="shared" si="28"/>
        <v>50</v>
      </c>
      <c r="J923" s="2" t="str">
        <f>TEXT([1]retail_sales_cleaned_dataset!B923,"mmmm")</f>
        <v>December</v>
      </c>
      <c r="K923" s="2">
        <f>MONTH([1]retail_sales_cleaned_dataset!B923)</f>
        <v>12</v>
      </c>
      <c r="L923" s="2">
        <f>YEAR([1]retail_sales_cleaned_dataset!B923)</f>
        <v>2025</v>
      </c>
      <c r="M923" s="2" t="str">
        <f t="shared" si="29"/>
        <v>18-25</v>
      </c>
    </row>
    <row r="924" spans="1:13" x14ac:dyDescent="0.25">
      <c r="A924" s="2">
        <v>923</v>
      </c>
      <c r="B924" s="1">
        <v>45997</v>
      </c>
      <c r="C924" t="s">
        <v>297</v>
      </c>
      <c r="D924" t="s">
        <v>12</v>
      </c>
      <c r="E924">
        <v>58</v>
      </c>
      <c r="F924" s="2" t="s">
        <v>10</v>
      </c>
      <c r="G924" s="2">
        <v>3</v>
      </c>
      <c r="H924" s="5">
        <v>300</v>
      </c>
      <c r="I924" s="5">
        <f t="shared" si="28"/>
        <v>900</v>
      </c>
      <c r="J924" s="2" t="str">
        <f>TEXT([1]retail_sales_cleaned_dataset!B924,"mmmm")</f>
        <v>December</v>
      </c>
      <c r="K924" s="2">
        <f>MONTH([1]retail_sales_cleaned_dataset!B924)</f>
        <v>12</v>
      </c>
      <c r="L924" s="2">
        <f>YEAR([1]retail_sales_cleaned_dataset!B924)</f>
        <v>2025</v>
      </c>
      <c r="M924" s="2" t="str">
        <f t="shared" si="29"/>
        <v>46+</v>
      </c>
    </row>
    <row r="925" spans="1:13" x14ac:dyDescent="0.25">
      <c r="A925" s="2">
        <v>924</v>
      </c>
      <c r="B925" s="1">
        <v>45997</v>
      </c>
      <c r="C925" t="s">
        <v>664</v>
      </c>
      <c r="D925" t="s">
        <v>9</v>
      </c>
      <c r="E925">
        <v>57</v>
      </c>
      <c r="F925" s="2" t="s">
        <v>10</v>
      </c>
      <c r="G925" s="2">
        <v>2</v>
      </c>
      <c r="H925" s="5">
        <v>50</v>
      </c>
      <c r="I925" s="5">
        <f t="shared" si="28"/>
        <v>100</v>
      </c>
      <c r="J925" s="2" t="str">
        <f>TEXT([1]retail_sales_cleaned_dataset!B925,"mmmm")</f>
        <v>December</v>
      </c>
      <c r="K925" s="2">
        <f>MONTH([1]retail_sales_cleaned_dataset!B925)</f>
        <v>12</v>
      </c>
      <c r="L925" s="2">
        <f>YEAR([1]retail_sales_cleaned_dataset!B925)</f>
        <v>2025</v>
      </c>
      <c r="M925" s="2" t="str">
        <f t="shared" si="29"/>
        <v>46+</v>
      </c>
    </row>
    <row r="926" spans="1:13" x14ac:dyDescent="0.25">
      <c r="A926" s="2">
        <v>925</v>
      </c>
      <c r="B926" s="1">
        <v>45997</v>
      </c>
      <c r="C926" t="s">
        <v>368</v>
      </c>
      <c r="D926" t="s">
        <v>12</v>
      </c>
      <c r="E926">
        <v>19</v>
      </c>
      <c r="F926" s="2" t="s">
        <v>15</v>
      </c>
      <c r="G926" s="2">
        <v>5</v>
      </c>
      <c r="H926" s="5">
        <v>300</v>
      </c>
      <c r="I926" s="5">
        <f t="shared" si="28"/>
        <v>1500</v>
      </c>
      <c r="J926" s="2" t="str">
        <f>TEXT([1]retail_sales_cleaned_dataset!B926,"mmmm")</f>
        <v>December</v>
      </c>
      <c r="K926" s="2">
        <f>MONTH([1]retail_sales_cleaned_dataset!B926)</f>
        <v>12</v>
      </c>
      <c r="L926" s="2">
        <f>YEAR([1]retail_sales_cleaned_dataset!B926)</f>
        <v>2025</v>
      </c>
      <c r="M926" s="2" t="str">
        <f t="shared" si="29"/>
        <v>18-25</v>
      </c>
    </row>
    <row r="927" spans="1:13" x14ac:dyDescent="0.25">
      <c r="A927" s="2">
        <v>926</v>
      </c>
      <c r="B927" s="1">
        <v>45997</v>
      </c>
      <c r="C927" t="s">
        <v>665</v>
      </c>
      <c r="D927" t="s">
        <v>9</v>
      </c>
      <c r="E927">
        <v>62</v>
      </c>
      <c r="F927" s="2" t="s">
        <v>15</v>
      </c>
      <c r="G927" s="2">
        <v>1</v>
      </c>
      <c r="H927" s="5">
        <v>30</v>
      </c>
      <c r="I927" s="5">
        <f t="shared" si="28"/>
        <v>30</v>
      </c>
      <c r="J927" s="2" t="str">
        <f>TEXT([1]retail_sales_cleaned_dataset!B927,"mmmm")</f>
        <v>December</v>
      </c>
      <c r="K927" s="2">
        <f>MONTH([1]retail_sales_cleaned_dataset!B927)</f>
        <v>12</v>
      </c>
      <c r="L927" s="2">
        <f>YEAR([1]retail_sales_cleaned_dataset!B927)</f>
        <v>2025</v>
      </c>
      <c r="M927" s="2" t="str">
        <f t="shared" si="29"/>
        <v>46+</v>
      </c>
    </row>
    <row r="928" spans="1:13" x14ac:dyDescent="0.25">
      <c r="A928" s="2">
        <v>927</v>
      </c>
      <c r="B928" s="1">
        <v>45997</v>
      </c>
      <c r="C928" t="s">
        <v>198</v>
      </c>
      <c r="D928" t="s">
        <v>9</v>
      </c>
      <c r="E928">
        <v>42</v>
      </c>
      <c r="F928" s="2" t="s">
        <v>15</v>
      </c>
      <c r="G928" s="2">
        <v>4</v>
      </c>
      <c r="H928" s="5">
        <v>500</v>
      </c>
      <c r="I928" s="5">
        <f t="shared" si="28"/>
        <v>2000</v>
      </c>
      <c r="J928" s="2" t="str">
        <f>TEXT([1]retail_sales_cleaned_dataset!B928,"mmmm")</f>
        <v>December</v>
      </c>
      <c r="K928" s="2">
        <f>MONTH([1]retail_sales_cleaned_dataset!B928)</f>
        <v>12</v>
      </c>
      <c r="L928" s="2">
        <f>YEAR([1]retail_sales_cleaned_dataset!B928)</f>
        <v>2025</v>
      </c>
      <c r="M928" s="2" t="str">
        <f t="shared" si="29"/>
        <v>36-45</v>
      </c>
    </row>
    <row r="929" spans="1:13" x14ac:dyDescent="0.25">
      <c r="A929" s="2">
        <v>928</v>
      </c>
      <c r="B929" s="1">
        <v>45998</v>
      </c>
      <c r="C929" t="s">
        <v>666</v>
      </c>
      <c r="D929" t="s">
        <v>9</v>
      </c>
      <c r="E929">
        <v>56</v>
      </c>
      <c r="F929" s="2" t="s">
        <v>13</v>
      </c>
      <c r="G929" s="2">
        <v>4</v>
      </c>
      <c r="H929" s="5">
        <v>300</v>
      </c>
      <c r="I929" s="5">
        <f t="shared" si="28"/>
        <v>1200</v>
      </c>
      <c r="J929" s="2" t="str">
        <f>TEXT([1]retail_sales_cleaned_dataset!B929,"mmmm")</f>
        <v>December</v>
      </c>
      <c r="K929" s="2">
        <f>MONTH([1]retail_sales_cleaned_dataset!B929)</f>
        <v>12</v>
      </c>
      <c r="L929" s="2">
        <f>YEAR([1]retail_sales_cleaned_dataset!B929)</f>
        <v>2025</v>
      </c>
      <c r="M929" s="2" t="str">
        <f t="shared" si="29"/>
        <v>46+</v>
      </c>
    </row>
    <row r="930" spans="1:13" x14ac:dyDescent="0.25">
      <c r="A930" s="2">
        <v>929</v>
      </c>
      <c r="B930" s="1">
        <v>45998</v>
      </c>
      <c r="C930" t="s">
        <v>302</v>
      </c>
      <c r="D930" t="s">
        <v>12</v>
      </c>
      <c r="E930">
        <v>26</v>
      </c>
      <c r="F930" s="2" t="s">
        <v>10</v>
      </c>
      <c r="G930" s="2">
        <v>3</v>
      </c>
      <c r="H930" s="5">
        <v>25</v>
      </c>
      <c r="I930" s="5">
        <f t="shared" si="28"/>
        <v>75</v>
      </c>
      <c r="J930" s="2" t="str">
        <f>TEXT([1]retail_sales_cleaned_dataset!B930,"mmmm")</f>
        <v>December</v>
      </c>
      <c r="K930" s="2">
        <f>MONTH([1]retail_sales_cleaned_dataset!B930)</f>
        <v>12</v>
      </c>
      <c r="L930" s="2">
        <f>YEAR([1]retail_sales_cleaned_dataset!B930)</f>
        <v>2025</v>
      </c>
      <c r="M930" s="2" t="str">
        <f t="shared" si="29"/>
        <v>26-35</v>
      </c>
    </row>
    <row r="931" spans="1:13" x14ac:dyDescent="0.25">
      <c r="A931" s="2">
        <v>930</v>
      </c>
      <c r="B931" s="1">
        <v>45999</v>
      </c>
      <c r="C931" t="s">
        <v>667</v>
      </c>
      <c r="D931" t="s">
        <v>9</v>
      </c>
      <c r="E931">
        <v>39</v>
      </c>
      <c r="F931" s="2" t="s">
        <v>13</v>
      </c>
      <c r="G931" s="2">
        <v>4</v>
      </c>
      <c r="H931" s="5">
        <v>50</v>
      </c>
      <c r="I931" s="5">
        <f t="shared" si="28"/>
        <v>200</v>
      </c>
      <c r="J931" s="2" t="str">
        <f>TEXT([1]retail_sales_cleaned_dataset!B931,"mmmm")</f>
        <v>December</v>
      </c>
      <c r="K931" s="2">
        <f>MONTH([1]retail_sales_cleaned_dataset!B931)</f>
        <v>12</v>
      </c>
      <c r="L931" s="2">
        <f>YEAR([1]retail_sales_cleaned_dataset!B931)</f>
        <v>2025</v>
      </c>
      <c r="M931" s="2" t="str">
        <f t="shared" si="29"/>
        <v>36-45</v>
      </c>
    </row>
    <row r="932" spans="1:13" x14ac:dyDescent="0.25">
      <c r="A932" s="2">
        <v>931</v>
      </c>
      <c r="B932" s="1">
        <v>45999</v>
      </c>
      <c r="C932" t="s">
        <v>373</v>
      </c>
      <c r="D932" t="s">
        <v>9</v>
      </c>
      <c r="E932">
        <v>60</v>
      </c>
      <c r="F932" s="2" t="s">
        <v>10</v>
      </c>
      <c r="G932" s="2">
        <v>4</v>
      </c>
      <c r="H932" s="5">
        <v>30</v>
      </c>
      <c r="I932" s="5">
        <f t="shared" si="28"/>
        <v>120</v>
      </c>
      <c r="J932" s="2" t="str">
        <f>TEXT([1]retail_sales_cleaned_dataset!B932,"mmmm")</f>
        <v>December</v>
      </c>
      <c r="K932" s="2">
        <f>MONTH([1]retail_sales_cleaned_dataset!B932)</f>
        <v>12</v>
      </c>
      <c r="L932" s="2">
        <f>YEAR([1]retail_sales_cleaned_dataset!B932)</f>
        <v>2025</v>
      </c>
      <c r="M932" s="2" t="str">
        <f t="shared" si="29"/>
        <v>46+</v>
      </c>
    </row>
    <row r="933" spans="1:13" x14ac:dyDescent="0.25">
      <c r="A933" s="2">
        <v>932</v>
      </c>
      <c r="B933" s="1">
        <v>45999</v>
      </c>
      <c r="C933" t="s">
        <v>668</v>
      </c>
      <c r="D933" t="s">
        <v>12</v>
      </c>
      <c r="E933">
        <v>63</v>
      </c>
      <c r="F933" s="2" t="s">
        <v>10</v>
      </c>
      <c r="G933" s="2">
        <v>4</v>
      </c>
      <c r="H933" s="5">
        <v>25</v>
      </c>
      <c r="I933" s="5">
        <f t="shared" si="28"/>
        <v>100</v>
      </c>
      <c r="J933" s="2" t="str">
        <f>TEXT([1]retail_sales_cleaned_dataset!B933,"mmmm")</f>
        <v>December</v>
      </c>
      <c r="K933" s="2">
        <f>MONTH([1]retail_sales_cleaned_dataset!B933)</f>
        <v>12</v>
      </c>
      <c r="L933" s="2">
        <f>YEAR([1]retail_sales_cleaned_dataset!B933)</f>
        <v>2025</v>
      </c>
      <c r="M933" s="2" t="str">
        <f t="shared" si="29"/>
        <v>46+</v>
      </c>
    </row>
    <row r="934" spans="1:13" x14ac:dyDescent="0.25">
      <c r="A934" s="2">
        <v>933</v>
      </c>
      <c r="B934" s="1">
        <v>45999</v>
      </c>
      <c r="C934" t="s">
        <v>117</v>
      </c>
      <c r="D934" t="s">
        <v>12</v>
      </c>
      <c r="E934">
        <v>21</v>
      </c>
      <c r="F934" s="2" t="s">
        <v>10</v>
      </c>
      <c r="G934" s="2">
        <v>1</v>
      </c>
      <c r="H934" s="5">
        <v>30</v>
      </c>
      <c r="I934" s="5">
        <f t="shared" si="28"/>
        <v>30</v>
      </c>
      <c r="J934" s="2" t="str">
        <f>TEXT([1]retail_sales_cleaned_dataset!B934,"mmmm")</f>
        <v>December</v>
      </c>
      <c r="K934" s="2">
        <f>MONTH([1]retail_sales_cleaned_dataset!B934)</f>
        <v>12</v>
      </c>
      <c r="L934" s="2">
        <f>YEAR([1]retail_sales_cleaned_dataset!B934)</f>
        <v>2025</v>
      </c>
      <c r="M934" s="2" t="str">
        <f t="shared" si="29"/>
        <v>18-25</v>
      </c>
    </row>
    <row r="935" spans="1:13" x14ac:dyDescent="0.25">
      <c r="A935" s="2">
        <v>934</v>
      </c>
      <c r="B935" s="1">
        <v>46000</v>
      </c>
      <c r="C935" t="s">
        <v>669</v>
      </c>
      <c r="D935" t="s">
        <v>9</v>
      </c>
      <c r="E935">
        <v>43</v>
      </c>
      <c r="F935" s="2" t="s">
        <v>10</v>
      </c>
      <c r="G935" s="2">
        <v>1</v>
      </c>
      <c r="H935" s="5">
        <v>500</v>
      </c>
      <c r="I935" s="5">
        <f t="shared" si="28"/>
        <v>500</v>
      </c>
      <c r="J935" s="2" t="str">
        <f>TEXT([1]retail_sales_cleaned_dataset!B935,"mmmm")</f>
        <v>December</v>
      </c>
      <c r="K935" s="2">
        <f>MONTH([1]retail_sales_cleaned_dataset!B935)</f>
        <v>12</v>
      </c>
      <c r="L935" s="2">
        <f>YEAR([1]retail_sales_cleaned_dataset!B935)</f>
        <v>2025</v>
      </c>
      <c r="M935" s="2" t="str">
        <f t="shared" si="29"/>
        <v>36-45</v>
      </c>
    </row>
    <row r="936" spans="1:13" x14ac:dyDescent="0.25">
      <c r="A936" s="2">
        <v>935</v>
      </c>
      <c r="B936" s="1">
        <v>46000</v>
      </c>
      <c r="C936" t="s">
        <v>216</v>
      </c>
      <c r="D936" t="s">
        <v>9</v>
      </c>
      <c r="E936">
        <v>46</v>
      </c>
      <c r="F936" s="2" t="s">
        <v>10</v>
      </c>
      <c r="G936" s="2">
        <v>1</v>
      </c>
      <c r="H936" s="5">
        <v>50</v>
      </c>
      <c r="I936" s="5">
        <f t="shared" si="28"/>
        <v>50</v>
      </c>
      <c r="J936" s="2" t="str">
        <f>TEXT([1]retail_sales_cleaned_dataset!B936,"mmmm")</f>
        <v>December</v>
      </c>
      <c r="K936" s="2">
        <f>MONTH([1]retail_sales_cleaned_dataset!B936)</f>
        <v>12</v>
      </c>
      <c r="L936" s="2">
        <f>YEAR([1]retail_sales_cleaned_dataset!B936)</f>
        <v>2025</v>
      </c>
      <c r="M936" s="2" t="str">
        <f t="shared" si="29"/>
        <v>46+</v>
      </c>
    </row>
    <row r="937" spans="1:13" x14ac:dyDescent="0.25">
      <c r="A937" s="2">
        <v>936</v>
      </c>
      <c r="B937" s="1">
        <v>46000</v>
      </c>
      <c r="C937" t="s">
        <v>670</v>
      </c>
      <c r="D937" t="s">
        <v>12</v>
      </c>
      <c r="E937">
        <v>62</v>
      </c>
      <c r="F937" s="2" t="s">
        <v>10</v>
      </c>
      <c r="G937" s="2">
        <v>4</v>
      </c>
      <c r="H937" s="5">
        <v>50</v>
      </c>
      <c r="I937" s="5">
        <f t="shared" si="28"/>
        <v>200</v>
      </c>
      <c r="J937" s="2" t="str">
        <f>TEXT([1]retail_sales_cleaned_dataset!B937,"mmmm")</f>
        <v>December</v>
      </c>
      <c r="K937" s="2">
        <f>MONTH([1]retail_sales_cleaned_dataset!B937)</f>
        <v>12</v>
      </c>
      <c r="L937" s="2">
        <f>YEAR([1]retail_sales_cleaned_dataset!B937)</f>
        <v>2025</v>
      </c>
      <c r="M937" s="2" t="str">
        <f t="shared" si="29"/>
        <v>46+</v>
      </c>
    </row>
    <row r="938" spans="1:13" x14ac:dyDescent="0.25">
      <c r="A938" s="2">
        <v>937</v>
      </c>
      <c r="B938" s="1">
        <v>46000</v>
      </c>
      <c r="C938" t="s">
        <v>316</v>
      </c>
      <c r="D938" t="s">
        <v>12</v>
      </c>
      <c r="E938">
        <v>51</v>
      </c>
      <c r="F938" s="2" t="s">
        <v>10</v>
      </c>
      <c r="G938" s="2">
        <v>1</v>
      </c>
      <c r="H938" s="5">
        <v>500</v>
      </c>
      <c r="I938" s="5">
        <f t="shared" si="28"/>
        <v>500</v>
      </c>
      <c r="J938" s="2" t="str">
        <f>TEXT([1]retail_sales_cleaned_dataset!B938,"mmmm")</f>
        <v>December</v>
      </c>
      <c r="K938" s="2">
        <f>MONTH([1]retail_sales_cleaned_dataset!B938)</f>
        <v>12</v>
      </c>
      <c r="L938" s="2">
        <f>YEAR([1]retail_sales_cleaned_dataset!B938)</f>
        <v>2025</v>
      </c>
      <c r="M938" s="2" t="str">
        <f t="shared" si="29"/>
        <v>46+</v>
      </c>
    </row>
    <row r="939" spans="1:13" x14ac:dyDescent="0.25">
      <c r="A939" s="2">
        <v>938</v>
      </c>
      <c r="B939" s="1">
        <v>46000</v>
      </c>
      <c r="C939" t="s">
        <v>671</v>
      </c>
      <c r="D939" t="s">
        <v>12</v>
      </c>
      <c r="E939">
        <v>40</v>
      </c>
      <c r="F939" s="2" t="s">
        <v>13</v>
      </c>
      <c r="G939" s="2">
        <v>4</v>
      </c>
      <c r="H939" s="5">
        <v>50</v>
      </c>
      <c r="I939" s="5">
        <f t="shared" si="28"/>
        <v>200</v>
      </c>
      <c r="J939" s="2" t="str">
        <f>TEXT([1]retail_sales_cleaned_dataset!B939,"mmmm")</f>
        <v>December</v>
      </c>
      <c r="K939" s="2">
        <f>MONTH([1]retail_sales_cleaned_dataset!B939)</f>
        <v>12</v>
      </c>
      <c r="L939" s="2">
        <f>YEAR([1]retail_sales_cleaned_dataset!B939)</f>
        <v>2025</v>
      </c>
      <c r="M939" s="2" t="str">
        <f t="shared" si="29"/>
        <v>36-45</v>
      </c>
    </row>
    <row r="940" spans="1:13" x14ac:dyDescent="0.25">
      <c r="A940" s="2">
        <v>939</v>
      </c>
      <c r="B940" s="1">
        <v>46000</v>
      </c>
      <c r="C940" t="s">
        <v>672</v>
      </c>
      <c r="D940" t="s">
        <v>12</v>
      </c>
      <c r="E940">
        <v>54</v>
      </c>
      <c r="F940" s="2" t="s">
        <v>15</v>
      </c>
      <c r="G940" s="2">
        <v>1</v>
      </c>
      <c r="H940" s="5">
        <v>300</v>
      </c>
      <c r="I940" s="5">
        <f t="shared" si="28"/>
        <v>300</v>
      </c>
      <c r="J940" s="2" t="str">
        <f>TEXT([1]retail_sales_cleaned_dataset!B940,"mmmm")</f>
        <v>December</v>
      </c>
      <c r="K940" s="2">
        <f>MONTH([1]retail_sales_cleaned_dataset!B940)</f>
        <v>12</v>
      </c>
      <c r="L940" s="2">
        <f>YEAR([1]retail_sales_cleaned_dataset!B940)</f>
        <v>2025</v>
      </c>
      <c r="M940" s="2" t="str">
        <f t="shared" si="29"/>
        <v>46+</v>
      </c>
    </row>
    <row r="941" spans="1:13" x14ac:dyDescent="0.25">
      <c r="A941" s="2">
        <v>940</v>
      </c>
      <c r="B941" s="1">
        <v>46001</v>
      </c>
      <c r="C941" t="s">
        <v>673</v>
      </c>
      <c r="D941" t="s">
        <v>12</v>
      </c>
      <c r="E941">
        <v>28</v>
      </c>
      <c r="F941" s="2" t="s">
        <v>15</v>
      </c>
      <c r="G941" s="2">
        <v>1</v>
      </c>
      <c r="H941" s="5">
        <v>30</v>
      </c>
      <c r="I941" s="5">
        <f t="shared" si="28"/>
        <v>30</v>
      </c>
      <c r="J941" s="2" t="str">
        <f>TEXT([1]retail_sales_cleaned_dataset!B941,"mmmm")</f>
        <v>December</v>
      </c>
      <c r="K941" s="2">
        <f>MONTH([1]retail_sales_cleaned_dataset!B941)</f>
        <v>12</v>
      </c>
      <c r="L941" s="2">
        <f>YEAR([1]retail_sales_cleaned_dataset!B941)</f>
        <v>2025</v>
      </c>
      <c r="M941" s="2" t="str">
        <f t="shared" si="29"/>
        <v>26-35</v>
      </c>
    </row>
    <row r="942" spans="1:13" x14ac:dyDescent="0.25">
      <c r="A942" s="2">
        <v>941</v>
      </c>
      <c r="B942" s="1">
        <v>46001</v>
      </c>
      <c r="C942" t="s">
        <v>674</v>
      </c>
      <c r="D942" t="s">
        <v>9</v>
      </c>
      <c r="E942">
        <v>23</v>
      </c>
      <c r="F942" s="2" t="s">
        <v>13</v>
      </c>
      <c r="G942" s="2">
        <v>2</v>
      </c>
      <c r="H942" s="5">
        <v>25</v>
      </c>
      <c r="I942" s="5">
        <f t="shared" si="28"/>
        <v>50</v>
      </c>
      <c r="J942" s="2" t="str">
        <f>TEXT([1]retail_sales_cleaned_dataset!B942,"mmmm")</f>
        <v>December</v>
      </c>
      <c r="K942" s="2">
        <f>MONTH([1]retail_sales_cleaned_dataset!B942)</f>
        <v>12</v>
      </c>
      <c r="L942" s="2">
        <f>YEAR([1]retail_sales_cleaned_dataset!B942)</f>
        <v>2025</v>
      </c>
      <c r="M942" s="2" t="str">
        <f t="shared" si="29"/>
        <v>18-25</v>
      </c>
    </row>
    <row r="943" spans="1:13" x14ac:dyDescent="0.25">
      <c r="A943" s="2">
        <v>942</v>
      </c>
      <c r="B943" s="1">
        <v>46001</v>
      </c>
      <c r="C943" t="s">
        <v>675</v>
      </c>
      <c r="D943" t="s">
        <v>12</v>
      </c>
      <c r="E943">
        <v>35</v>
      </c>
      <c r="F943" s="2" t="s">
        <v>13</v>
      </c>
      <c r="G943" s="2">
        <v>3</v>
      </c>
      <c r="H943" s="5">
        <v>500</v>
      </c>
      <c r="I943" s="5">
        <f t="shared" si="28"/>
        <v>1500</v>
      </c>
      <c r="J943" s="2" t="str">
        <f>TEXT([1]retail_sales_cleaned_dataset!B943,"mmmm")</f>
        <v>December</v>
      </c>
      <c r="K943" s="2">
        <f>MONTH([1]retail_sales_cleaned_dataset!B943)</f>
        <v>12</v>
      </c>
      <c r="L943" s="2">
        <f>YEAR([1]retail_sales_cleaned_dataset!B943)</f>
        <v>2025</v>
      </c>
      <c r="M943" s="2" t="str">
        <f t="shared" si="29"/>
        <v>26-35</v>
      </c>
    </row>
    <row r="944" spans="1:13" x14ac:dyDescent="0.25">
      <c r="A944" s="2">
        <v>943</v>
      </c>
      <c r="B944" s="1">
        <v>46001</v>
      </c>
      <c r="C944" t="s">
        <v>676</v>
      </c>
      <c r="D944" t="s">
        <v>9</v>
      </c>
      <c r="E944">
        <v>38</v>
      </c>
      <c r="F944" s="2" t="s">
        <v>13</v>
      </c>
      <c r="G944" s="2">
        <v>4</v>
      </c>
      <c r="H944" s="5">
        <v>300</v>
      </c>
      <c r="I944" s="5">
        <f t="shared" si="28"/>
        <v>1200</v>
      </c>
      <c r="J944" s="2" t="str">
        <f>TEXT([1]retail_sales_cleaned_dataset!B944,"mmmm")</f>
        <v>December</v>
      </c>
      <c r="K944" s="2">
        <f>MONTH([1]retail_sales_cleaned_dataset!B944)</f>
        <v>12</v>
      </c>
      <c r="L944" s="2">
        <f>YEAR([1]retail_sales_cleaned_dataset!B944)</f>
        <v>2025</v>
      </c>
      <c r="M944" s="2" t="str">
        <f t="shared" si="29"/>
        <v>36-45</v>
      </c>
    </row>
    <row r="945" spans="1:13" x14ac:dyDescent="0.25">
      <c r="A945" s="2">
        <v>944</v>
      </c>
      <c r="B945" s="1">
        <v>46002</v>
      </c>
      <c r="C945" t="s">
        <v>677</v>
      </c>
      <c r="D945" t="s">
        <v>9</v>
      </c>
      <c r="E945">
        <v>59</v>
      </c>
      <c r="F945" s="2" t="s">
        <v>13</v>
      </c>
      <c r="G945" s="2">
        <v>2</v>
      </c>
      <c r="H945" s="5">
        <v>25</v>
      </c>
      <c r="I945" s="5">
        <f t="shared" si="28"/>
        <v>50</v>
      </c>
      <c r="J945" s="2" t="str">
        <f>TEXT([1]retail_sales_cleaned_dataset!B945,"mmmm")</f>
        <v>December</v>
      </c>
      <c r="K945" s="2">
        <f>MONTH([1]retail_sales_cleaned_dataset!B945)</f>
        <v>12</v>
      </c>
      <c r="L945" s="2">
        <f>YEAR([1]retail_sales_cleaned_dataset!B945)</f>
        <v>2025</v>
      </c>
      <c r="M945" s="2" t="str">
        <f t="shared" si="29"/>
        <v>46+</v>
      </c>
    </row>
    <row r="946" spans="1:13" x14ac:dyDescent="0.25">
      <c r="A946" s="2">
        <v>945</v>
      </c>
      <c r="B946" s="1">
        <v>46002</v>
      </c>
      <c r="C946" t="s">
        <v>678</v>
      </c>
      <c r="D946" t="s">
        <v>9</v>
      </c>
      <c r="E946">
        <v>53</v>
      </c>
      <c r="F946" s="2" t="s">
        <v>10</v>
      </c>
      <c r="G946" s="2">
        <v>1</v>
      </c>
      <c r="H946" s="5">
        <v>25</v>
      </c>
      <c r="I946" s="5">
        <f t="shared" si="28"/>
        <v>25</v>
      </c>
      <c r="J946" s="2" t="str">
        <f>TEXT([1]retail_sales_cleaned_dataset!B946,"mmmm")</f>
        <v>December</v>
      </c>
      <c r="K946" s="2">
        <f>MONTH([1]retail_sales_cleaned_dataset!B946)</f>
        <v>12</v>
      </c>
      <c r="L946" s="2">
        <f>YEAR([1]retail_sales_cleaned_dataset!B946)</f>
        <v>2025</v>
      </c>
      <c r="M946" s="2" t="str">
        <f t="shared" si="29"/>
        <v>46+</v>
      </c>
    </row>
    <row r="947" spans="1:13" x14ac:dyDescent="0.25">
      <c r="A947" s="2">
        <v>946</v>
      </c>
      <c r="B947" s="1">
        <v>46003</v>
      </c>
      <c r="C947" t="s">
        <v>679</v>
      </c>
      <c r="D947" t="s">
        <v>12</v>
      </c>
      <c r="E947">
        <v>58</v>
      </c>
      <c r="F947" s="2" t="s">
        <v>15</v>
      </c>
      <c r="G947" s="2">
        <v>4</v>
      </c>
      <c r="H947" s="5">
        <v>500</v>
      </c>
      <c r="I947" s="5">
        <f t="shared" si="28"/>
        <v>2000</v>
      </c>
      <c r="J947" s="2" t="str">
        <f>TEXT([1]retail_sales_cleaned_dataset!B947,"mmmm")</f>
        <v>December</v>
      </c>
      <c r="K947" s="2">
        <f>MONTH([1]retail_sales_cleaned_dataset!B947)</f>
        <v>12</v>
      </c>
      <c r="L947" s="2">
        <f>YEAR([1]retail_sales_cleaned_dataset!B947)</f>
        <v>2025</v>
      </c>
      <c r="M947" s="2" t="str">
        <f t="shared" si="29"/>
        <v>46+</v>
      </c>
    </row>
    <row r="948" spans="1:13" x14ac:dyDescent="0.25">
      <c r="A948" s="2">
        <v>947</v>
      </c>
      <c r="B948" s="1">
        <v>46003</v>
      </c>
      <c r="C948" t="s">
        <v>680</v>
      </c>
      <c r="D948" t="s">
        <v>9</v>
      </c>
      <c r="E948">
        <v>55</v>
      </c>
      <c r="F948" s="2" t="s">
        <v>10</v>
      </c>
      <c r="G948" s="2">
        <v>1</v>
      </c>
      <c r="H948" s="5">
        <v>300</v>
      </c>
      <c r="I948" s="5">
        <f t="shared" si="28"/>
        <v>300</v>
      </c>
      <c r="J948" s="2" t="str">
        <f>TEXT([1]retail_sales_cleaned_dataset!B948,"mmmm")</f>
        <v>December</v>
      </c>
      <c r="K948" s="2">
        <f>MONTH([1]retail_sales_cleaned_dataset!B948)</f>
        <v>12</v>
      </c>
      <c r="L948" s="2">
        <f>YEAR([1]retail_sales_cleaned_dataset!B948)</f>
        <v>2025</v>
      </c>
      <c r="M948" s="2" t="str">
        <f t="shared" si="29"/>
        <v>46+</v>
      </c>
    </row>
    <row r="949" spans="1:13" x14ac:dyDescent="0.25">
      <c r="A949" s="2">
        <v>948</v>
      </c>
      <c r="B949" s="1">
        <v>46004</v>
      </c>
      <c r="C949" t="s">
        <v>681</v>
      </c>
      <c r="D949" t="s">
        <v>9</v>
      </c>
      <c r="E949">
        <v>51</v>
      </c>
      <c r="F949" s="2" t="s">
        <v>15</v>
      </c>
      <c r="G949" s="2">
        <v>3</v>
      </c>
      <c r="H949" s="5">
        <v>25</v>
      </c>
      <c r="I949" s="5">
        <f t="shared" si="28"/>
        <v>75</v>
      </c>
      <c r="J949" s="2" t="str">
        <f>TEXT([1]retail_sales_cleaned_dataset!B949,"mmmm")</f>
        <v>December</v>
      </c>
      <c r="K949" s="2">
        <f>MONTH([1]retail_sales_cleaned_dataset!B949)</f>
        <v>12</v>
      </c>
      <c r="L949" s="2">
        <f>YEAR([1]retail_sales_cleaned_dataset!B949)</f>
        <v>2025</v>
      </c>
      <c r="M949" s="2" t="str">
        <f t="shared" si="29"/>
        <v>46+</v>
      </c>
    </row>
    <row r="950" spans="1:13" x14ac:dyDescent="0.25">
      <c r="A950" s="2">
        <v>949</v>
      </c>
      <c r="B950" s="1">
        <v>46004</v>
      </c>
      <c r="C950" t="s">
        <v>682</v>
      </c>
      <c r="D950" t="s">
        <v>12</v>
      </c>
      <c r="E950">
        <v>34</v>
      </c>
      <c r="F950" s="2" t="s">
        <v>15</v>
      </c>
      <c r="G950" s="2">
        <v>2</v>
      </c>
      <c r="H950" s="5">
        <v>25</v>
      </c>
      <c r="I950" s="5">
        <f t="shared" si="28"/>
        <v>50</v>
      </c>
      <c r="J950" s="2" t="str">
        <f>TEXT([1]retail_sales_cleaned_dataset!B950,"mmmm")</f>
        <v>December</v>
      </c>
      <c r="K950" s="2">
        <f>MONTH([1]retail_sales_cleaned_dataset!B950)</f>
        <v>12</v>
      </c>
      <c r="L950" s="2">
        <f>YEAR([1]retail_sales_cleaned_dataset!B950)</f>
        <v>2025</v>
      </c>
      <c r="M950" s="2" t="str">
        <f t="shared" si="29"/>
        <v>26-35</v>
      </c>
    </row>
    <row r="951" spans="1:13" x14ac:dyDescent="0.25">
      <c r="A951" s="2">
        <v>950</v>
      </c>
      <c r="B951" s="1">
        <v>46004</v>
      </c>
      <c r="C951" t="s">
        <v>683</v>
      </c>
      <c r="D951" t="s">
        <v>9</v>
      </c>
      <c r="E951">
        <v>54</v>
      </c>
      <c r="F951" s="2" t="s">
        <v>13</v>
      </c>
      <c r="G951" s="2">
        <v>3</v>
      </c>
      <c r="H951" s="5">
        <v>300</v>
      </c>
      <c r="I951" s="5">
        <f t="shared" si="28"/>
        <v>900</v>
      </c>
      <c r="J951" s="2" t="str">
        <f>TEXT([1]retail_sales_cleaned_dataset!B951,"mmmm")</f>
        <v>December</v>
      </c>
      <c r="K951" s="2">
        <f>MONTH([1]retail_sales_cleaned_dataset!B951)</f>
        <v>12</v>
      </c>
      <c r="L951" s="2">
        <f>YEAR([1]retail_sales_cleaned_dataset!B951)</f>
        <v>2025</v>
      </c>
      <c r="M951" s="2" t="str">
        <f t="shared" si="29"/>
        <v>46+</v>
      </c>
    </row>
    <row r="952" spans="1:13" x14ac:dyDescent="0.25">
      <c r="A952" s="2">
        <v>951</v>
      </c>
      <c r="B952" s="1">
        <v>46005</v>
      </c>
      <c r="C952" t="s">
        <v>684</v>
      </c>
      <c r="D952" t="s">
        <v>9</v>
      </c>
      <c r="E952">
        <v>42</v>
      </c>
      <c r="F952" s="2" t="s">
        <v>10</v>
      </c>
      <c r="G952" s="2">
        <v>2</v>
      </c>
      <c r="H952" s="5">
        <v>50</v>
      </c>
      <c r="I952" s="5">
        <f t="shared" si="28"/>
        <v>100</v>
      </c>
      <c r="J952" s="2" t="str">
        <f>TEXT([1]retail_sales_cleaned_dataset!B952,"mmmm")</f>
        <v>December</v>
      </c>
      <c r="K952" s="2">
        <f>MONTH([1]retail_sales_cleaned_dataset!B952)</f>
        <v>12</v>
      </c>
      <c r="L952" s="2">
        <f>YEAR([1]retail_sales_cleaned_dataset!B952)</f>
        <v>2025</v>
      </c>
      <c r="M952" s="2" t="str">
        <f t="shared" si="29"/>
        <v>36-45</v>
      </c>
    </row>
    <row r="953" spans="1:13" x14ac:dyDescent="0.25">
      <c r="A953" s="2">
        <v>952</v>
      </c>
      <c r="B953" s="1">
        <v>46005</v>
      </c>
      <c r="C953" t="s">
        <v>685</v>
      </c>
      <c r="D953" t="s">
        <v>12</v>
      </c>
      <c r="E953">
        <v>55</v>
      </c>
      <c r="F953" s="2" t="s">
        <v>13</v>
      </c>
      <c r="G953" s="2">
        <v>1</v>
      </c>
      <c r="H953" s="5">
        <v>25</v>
      </c>
      <c r="I953" s="5">
        <f t="shared" si="28"/>
        <v>25</v>
      </c>
      <c r="J953" s="2" t="str">
        <f>TEXT([1]retail_sales_cleaned_dataset!B953,"mmmm")</f>
        <v>December</v>
      </c>
      <c r="K953" s="2">
        <f>MONTH([1]retail_sales_cleaned_dataset!B953)</f>
        <v>12</v>
      </c>
      <c r="L953" s="2">
        <f>YEAR([1]retail_sales_cleaned_dataset!B953)</f>
        <v>2025</v>
      </c>
      <c r="M953" s="2" t="str">
        <f t="shared" si="29"/>
        <v>46+</v>
      </c>
    </row>
    <row r="954" spans="1:13" x14ac:dyDescent="0.25">
      <c r="A954" s="2">
        <v>953</v>
      </c>
      <c r="B954" s="1">
        <v>46006</v>
      </c>
      <c r="C954" t="s">
        <v>686</v>
      </c>
      <c r="D954" t="s">
        <v>9</v>
      </c>
      <c r="E954">
        <v>29</v>
      </c>
      <c r="F954" s="2" t="s">
        <v>10</v>
      </c>
      <c r="G954" s="2">
        <v>3</v>
      </c>
      <c r="H954" s="5">
        <v>30</v>
      </c>
      <c r="I954" s="5">
        <f t="shared" si="28"/>
        <v>90</v>
      </c>
      <c r="J954" s="2" t="str">
        <f>TEXT([1]retail_sales_cleaned_dataset!B954,"mmmm")</f>
        <v>December</v>
      </c>
      <c r="K954" s="2">
        <f>MONTH([1]retail_sales_cleaned_dataset!B954)</f>
        <v>12</v>
      </c>
      <c r="L954" s="2">
        <f>YEAR([1]retail_sales_cleaned_dataset!B954)</f>
        <v>2025</v>
      </c>
      <c r="M954" s="2" t="str">
        <f t="shared" si="29"/>
        <v>26-35</v>
      </c>
    </row>
    <row r="955" spans="1:13" x14ac:dyDescent="0.25">
      <c r="A955" s="2">
        <v>954</v>
      </c>
      <c r="B955" s="1">
        <v>46006</v>
      </c>
      <c r="C955" t="s">
        <v>687</v>
      </c>
      <c r="D955" t="s">
        <v>9</v>
      </c>
      <c r="E955">
        <v>40</v>
      </c>
      <c r="F955" s="2" t="s">
        <v>15</v>
      </c>
      <c r="G955" s="2">
        <v>3</v>
      </c>
      <c r="H955" s="5">
        <v>300</v>
      </c>
      <c r="I955" s="5">
        <f t="shared" si="28"/>
        <v>900</v>
      </c>
      <c r="J955" s="2" t="str">
        <f>TEXT([1]retail_sales_cleaned_dataset!B955,"mmmm")</f>
        <v>December</v>
      </c>
      <c r="K955" s="2">
        <f>MONTH([1]retail_sales_cleaned_dataset!B955)</f>
        <v>12</v>
      </c>
      <c r="L955" s="2">
        <f>YEAR([1]retail_sales_cleaned_dataset!B955)</f>
        <v>2025</v>
      </c>
      <c r="M955" s="2" t="str">
        <f t="shared" si="29"/>
        <v>36-45</v>
      </c>
    </row>
    <row r="956" spans="1:13" x14ac:dyDescent="0.25">
      <c r="A956" s="2">
        <v>955</v>
      </c>
      <c r="B956" s="1">
        <v>46007</v>
      </c>
      <c r="C956" t="s">
        <v>117</v>
      </c>
      <c r="D956" t="s">
        <v>9</v>
      </c>
      <c r="E956">
        <v>59</v>
      </c>
      <c r="F956" s="2" t="s">
        <v>13</v>
      </c>
      <c r="G956" s="2">
        <v>1</v>
      </c>
      <c r="H956" s="5">
        <v>25</v>
      </c>
      <c r="I956" s="5">
        <f t="shared" si="28"/>
        <v>25</v>
      </c>
      <c r="J956" s="2" t="str">
        <f>TEXT([1]retail_sales_cleaned_dataset!B956,"mmmm")</f>
        <v>December</v>
      </c>
      <c r="K956" s="2">
        <f>MONTH([1]retail_sales_cleaned_dataset!B956)</f>
        <v>12</v>
      </c>
      <c r="L956" s="2">
        <f>YEAR([1]retail_sales_cleaned_dataset!B956)</f>
        <v>2025</v>
      </c>
      <c r="M956" s="2" t="str">
        <f t="shared" si="29"/>
        <v>46+</v>
      </c>
    </row>
    <row r="957" spans="1:13" x14ac:dyDescent="0.25">
      <c r="A957" s="2">
        <v>956</v>
      </c>
      <c r="B957" s="1">
        <v>46007</v>
      </c>
      <c r="C957" t="s">
        <v>688</v>
      </c>
      <c r="D957" t="s">
        <v>12</v>
      </c>
      <c r="E957">
        <v>39</v>
      </c>
      <c r="F957" s="2" t="s">
        <v>13</v>
      </c>
      <c r="G957" s="2">
        <v>3</v>
      </c>
      <c r="H957" s="5">
        <v>500</v>
      </c>
      <c r="I957" s="5">
        <f t="shared" si="28"/>
        <v>1500</v>
      </c>
      <c r="J957" s="2" t="str">
        <f>TEXT([1]retail_sales_cleaned_dataset!B957,"mmmm")</f>
        <v>December</v>
      </c>
      <c r="K957" s="2">
        <f>MONTH([1]retail_sales_cleaned_dataset!B957)</f>
        <v>12</v>
      </c>
      <c r="L957" s="2">
        <f>YEAR([1]retail_sales_cleaned_dataset!B957)</f>
        <v>2025</v>
      </c>
      <c r="M957" s="2" t="str">
        <f t="shared" si="29"/>
        <v>36-45</v>
      </c>
    </row>
    <row r="958" spans="1:13" x14ac:dyDescent="0.25">
      <c r="A958" s="2">
        <v>957</v>
      </c>
      <c r="B958" s="1">
        <v>46007</v>
      </c>
      <c r="C958" t="s">
        <v>216</v>
      </c>
      <c r="D958" t="s">
        <v>12</v>
      </c>
      <c r="E958">
        <v>38</v>
      </c>
      <c r="F958" s="2" t="s">
        <v>15</v>
      </c>
      <c r="G958" s="2">
        <v>4</v>
      </c>
      <c r="H958" s="5">
        <v>30</v>
      </c>
      <c r="I958" s="5">
        <f t="shared" si="28"/>
        <v>120</v>
      </c>
      <c r="J958" s="2" t="str">
        <f>TEXT([1]retail_sales_cleaned_dataset!B958,"mmmm")</f>
        <v>December</v>
      </c>
      <c r="K958" s="2">
        <f>MONTH([1]retail_sales_cleaned_dataset!B958)</f>
        <v>12</v>
      </c>
      <c r="L958" s="2">
        <f>YEAR([1]retail_sales_cleaned_dataset!B958)</f>
        <v>2025</v>
      </c>
      <c r="M958" s="2" t="str">
        <f t="shared" si="29"/>
        <v>36-45</v>
      </c>
    </row>
    <row r="959" spans="1:13" x14ac:dyDescent="0.25">
      <c r="A959" s="2">
        <v>958</v>
      </c>
      <c r="B959" s="1">
        <v>46008</v>
      </c>
      <c r="C959" t="s">
        <v>689</v>
      </c>
      <c r="D959" t="s">
        <v>12</v>
      </c>
      <c r="E959">
        <v>44</v>
      </c>
      <c r="F959" s="2" t="s">
        <v>15</v>
      </c>
      <c r="G959" s="2">
        <v>2</v>
      </c>
      <c r="H959" s="5">
        <v>25</v>
      </c>
      <c r="I959" s="5">
        <f t="shared" si="28"/>
        <v>50</v>
      </c>
      <c r="J959" s="2" t="str">
        <f>TEXT([1]retail_sales_cleaned_dataset!B959,"mmmm")</f>
        <v>December</v>
      </c>
      <c r="K959" s="2">
        <f>MONTH([1]retail_sales_cleaned_dataset!B959)</f>
        <v>12</v>
      </c>
      <c r="L959" s="2">
        <f>YEAR([1]retail_sales_cleaned_dataset!B959)</f>
        <v>2025</v>
      </c>
      <c r="M959" s="2" t="str">
        <f t="shared" si="29"/>
        <v>36-45</v>
      </c>
    </row>
    <row r="960" spans="1:13" x14ac:dyDescent="0.25">
      <c r="A960" s="2">
        <v>959</v>
      </c>
      <c r="B960" s="1">
        <v>46008</v>
      </c>
      <c r="C960" t="s">
        <v>316</v>
      </c>
      <c r="D960" t="s">
        <v>9</v>
      </c>
      <c r="E960">
        <v>48</v>
      </c>
      <c r="F960" s="2" t="s">
        <v>15</v>
      </c>
      <c r="G960" s="2">
        <v>2</v>
      </c>
      <c r="H960" s="5">
        <v>30</v>
      </c>
      <c r="I960" s="5">
        <f t="shared" si="28"/>
        <v>60</v>
      </c>
      <c r="J960" s="2" t="str">
        <f>TEXT([1]retail_sales_cleaned_dataset!B960,"mmmm")</f>
        <v>December</v>
      </c>
      <c r="K960" s="2">
        <f>MONTH([1]retail_sales_cleaned_dataset!B960)</f>
        <v>12</v>
      </c>
      <c r="L960" s="2">
        <f>YEAR([1]retail_sales_cleaned_dataset!B960)</f>
        <v>2025</v>
      </c>
      <c r="M960" s="2" t="str">
        <f t="shared" si="29"/>
        <v>46+</v>
      </c>
    </row>
    <row r="961" spans="1:13" x14ac:dyDescent="0.25">
      <c r="A961" s="2">
        <v>960</v>
      </c>
      <c r="B961" s="1">
        <v>46009</v>
      </c>
      <c r="C961" t="s">
        <v>690</v>
      </c>
      <c r="D961" t="s">
        <v>9</v>
      </c>
      <c r="E961">
        <v>23</v>
      </c>
      <c r="F961" s="2" t="s">
        <v>13</v>
      </c>
      <c r="G961" s="2">
        <v>2</v>
      </c>
      <c r="H961" s="5">
        <v>30</v>
      </c>
      <c r="I961" s="5">
        <f t="shared" si="28"/>
        <v>60</v>
      </c>
      <c r="J961" s="2" t="str">
        <f>TEXT([1]retail_sales_cleaned_dataset!B961,"mmmm")</f>
        <v>December</v>
      </c>
      <c r="K961" s="2">
        <f>MONTH([1]retail_sales_cleaned_dataset!B961)</f>
        <v>12</v>
      </c>
      <c r="L961" s="2">
        <f>YEAR([1]retail_sales_cleaned_dataset!B961)</f>
        <v>2025</v>
      </c>
      <c r="M961" s="2" t="str">
        <f t="shared" si="29"/>
        <v>18-25</v>
      </c>
    </row>
    <row r="962" spans="1:13" x14ac:dyDescent="0.25">
      <c r="A962" s="2">
        <v>961</v>
      </c>
      <c r="B962" s="1">
        <v>46009</v>
      </c>
      <c r="C962" t="s">
        <v>597</v>
      </c>
      <c r="D962" t="s">
        <v>12</v>
      </c>
      <c r="E962">
        <v>44</v>
      </c>
      <c r="F962" s="2" t="s">
        <v>10</v>
      </c>
      <c r="G962" s="2">
        <v>4</v>
      </c>
      <c r="H962" s="5">
        <v>50</v>
      </c>
      <c r="I962" s="5">
        <f t="shared" ref="I962:I1001" si="30">G962*H962</f>
        <v>200</v>
      </c>
      <c r="J962" s="2" t="str">
        <f>TEXT([1]retail_sales_cleaned_dataset!B962,"mmmm")</f>
        <v>December</v>
      </c>
      <c r="K962" s="2">
        <f>MONTH([1]retail_sales_cleaned_dataset!B962)</f>
        <v>12</v>
      </c>
      <c r="L962" s="2">
        <f>YEAR([1]retail_sales_cleaned_dataset!B962)</f>
        <v>2025</v>
      </c>
      <c r="M962" s="2" t="str">
        <f t="shared" ref="M962:M1001" si="31">IF(E962&lt;=25,"18-25",IF(E962&lt;=35,"26-35",IF(E962&lt;=45,"36-45","46+")))</f>
        <v>36-45</v>
      </c>
    </row>
    <row r="963" spans="1:13" x14ac:dyDescent="0.25">
      <c r="A963" s="2">
        <v>962</v>
      </c>
      <c r="B963" s="1">
        <v>46009</v>
      </c>
      <c r="C963" t="s">
        <v>691</v>
      </c>
      <c r="D963" t="s">
        <v>9</v>
      </c>
      <c r="E963">
        <v>57</v>
      </c>
      <c r="F963" s="2" t="s">
        <v>13</v>
      </c>
      <c r="G963" s="2">
        <v>2</v>
      </c>
      <c r="H963" s="5">
        <v>30</v>
      </c>
      <c r="I963" s="5">
        <f t="shared" si="30"/>
        <v>60</v>
      </c>
      <c r="J963" s="2" t="str">
        <f>TEXT([1]retail_sales_cleaned_dataset!B963,"mmmm")</f>
        <v>December</v>
      </c>
      <c r="K963" s="2">
        <f>MONTH([1]retail_sales_cleaned_dataset!B963)</f>
        <v>12</v>
      </c>
      <c r="L963" s="2">
        <f>YEAR([1]retail_sales_cleaned_dataset!B963)</f>
        <v>2025</v>
      </c>
      <c r="M963" s="2" t="str">
        <f t="shared" si="31"/>
        <v>46+</v>
      </c>
    </row>
    <row r="964" spans="1:13" x14ac:dyDescent="0.25">
      <c r="A964" s="2">
        <v>963</v>
      </c>
      <c r="B964" s="1">
        <v>46009</v>
      </c>
      <c r="C964" t="s">
        <v>637</v>
      </c>
      <c r="D964" t="s">
        <v>9</v>
      </c>
      <c r="E964">
        <v>51</v>
      </c>
      <c r="F964" s="2" t="s">
        <v>10</v>
      </c>
      <c r="G964" s="2">
        <v>1</v>
      </c>
      <c r="H964" s="5">
        <v>50</v>
      </c>
      <c r="I964" s="5">
        <f t="shared" si="30"/>
        <v>50</v>
      </c>
      <c r="J964" s="2" t="str">
        <f>TEXT([1]retail_sales_cleaned_dataset!B964,"mmmm")</f>
        <v>December</v>
      </c>
      <c r="K964" s="2">
        <f>MONTH([1]retail_sales_cleaned_dataset!B964)</f>
        <v>12</v>
      </c>
      <c r="L964" s="2">
        <f>YEAR([1]retail_sales_cleaned_dataset!B964)</f>
        <v>2025</v>
      </c>
      <c r="M964" s="2" t="str">
        <f t="shared" si="31"/>
        <v>46+</v>
      </c>
    </row>
    <row r="965" spans="1:13" x14ac:dyDescent="0.25">
      <c r="A965" s="2">
        <v>964</v>
      </c>
      <c r="B965" s="1">
        <v>46010</v>
      </c>
      <c r="C965" t="s">
        <v>692</v>
      </c>
      <c r="D965" t="s">
        <v>12</v>
      </c>
      <c r="E965">
        <v>29</v>
      </c>
      <c r="F965" s="2" t="s">
        <v>13</v>
      </c>
      <c r="G965" s="2">
        <v>3</v>
      </c>
      <c r="H965" s="5">
        <v>300</v>
      </c>
      <c r="I965" s="5">
        <f t="shared" si="30"/>
        <v>900</v>
      </c>
      <c r="J965" s="2" t="str">
        <f>TEXT([1]retail_sales_cleaned_dataset!B965,"mmmm")</f>
        <v>December</v>
      </c>
      <c r="K965" s="2">
        <f>MONTH([1]retail_sales_cleaned_dataset!B965)</f>
        <v>12</v>
      </c>
      <c r="L965" s="2">
        <f>YEAR([1]retail_sales_cleaned_dataset!B965)</f>
        <v>2025</v>
      </c>
      <c r="M965" s="2" t="str">
        <f t="shared" si="31"/>
        <v>26-35</v>
      </c>
    </row>
    <row r="966" spans="1:13" x14ac:dyDescent="0.25">
      <c r="A966" s="2">
        <v>965</v>
      </c>
      <c r="B966" s="1">
        <v>46010</v>
      </c>
      <c r="C966" t="s">
        <v>628</v>
      </c>
      <c r="D966" t="s">
        <v>12</v>
      </c>
      <c r="E966">
        <v>62</v>
      </c>
      <c r="F966" s="2" t="s">
        <v>13</v>
      </c>
      <c r="G966" s="2">
        <v>4</v>
      </c>
      <c r="H966" s="5">
        <v>50</v>
      </c>
      <c r="I966" s="5">
        <f t="shared" si="30"/>
        <v>200</v>
      </c>
      <c r="J966" s="2" t="str">
        <f>TEXT([1]retail_sales_cleaned_dataset!B966,"mmmm")</f>
        <v>December</v>
      </c>
      <c r="K966" s="2">
        <f>MONTH([1]retail_sales_cleaned_dataset!B966)</f>
        <v>12</v>
      </c>
      <c r="L966" s="2">
        <f>YEAR([1]retail_sales_cleaned_dataset!B966)</f>
        <v>2025</v>
      </c>
      <c r="M966" s="2" t="str">
        <f t="shared" si="31"/>
        <v>46+</v>
      </c>
    </row>
    <row r="967" spans="1:13" x14ac:dyDescent="0.25">
      <c r="A967" s="2">
        <v>966</v>
      </c>
      <c r="B967" s="1">
        <v>46010</v>
      </c>
      <c r="C967" t="s">
        <v>693</v>
      </c>
      <c r="D967" t="s">
        <v>9</v>
      </c>
      <c r="E967">
        <v>24</v>
      </c>
      <c r="F967" s="2" t="s">
        <v>15</v>
      </c>
      <c r="G967" s="2">
        <v>2</v>
      </c>
      <c r="H967" s="5">
        <v>500</v>
      </c>
      <c r="I967" s="5">
        <f t="shared" si="30"/>
        <v>1000</v>
      </c>
      <c r="J967" s="2" t="str">
        <f>TEXT([1]retail_sales_cleaned_dataset!B967,"mmmm")</f>
        <v>December</v>
      </c>
      <c r="K967" s="2">
        <f>MONTH([1]retail_sales_cleaned_dataset!B967)</f>
        <v>12</v>
      </c>
      <c r="L967" s="2">
        <f>YEAR([1]retail_sales_cleaned_dataset!B967)</f>
        <v>2025</v>
      </c>
      <c r="M967" s="2" t="str">
        <f t="shared" si="31"/>
        <v>18-25</v>
      </c>
    </row>
    <row r="968" spans="1:13" x14ac:dyDescent="0.25">
      <c r="A968" s="2">
        <v>967</v>
      </c>
      <c r="B968" s="1">
        <v>46011</v>
      </c>
      <c r="C968" t="s">
        <v>635</v>
      </c>
      <c r="D968" t="s">
        <v>9</v>
      </c>
      <c r="E968">
        <v>27</v>
      </c>
      <c r="F968" s="2" t="s">
        <v>10</v>
      </c>
      <c r="G968" s="2">
        <v>1</v>
      </c>
      <c r="H968" s="5">
        <v>25</v>
      </c>
      <c r="I968" s="5">
        <f t="shared" si="30"/>
        <v>25</v>
      </c>
      <c r="J968" s="2" t="str">
        <f>TEXT([1]retail_sales_cleaned_dataset!B968,"mmmm")</f>
        <v>December</v>
      </c>
      <c r="K968" s="2">
        <f>MONTH([1]retail_sales_cleaned_dataset!B968)</f>
        <v>12</v>
      </c>
      <c r="L968" s="2">
        <f>YEAR([1]retail_sales_cleaned_dataset!B968)</f>
        <v>2025</v>
      </c>
      <c r="M968" s="2" t="str">
        <f t="shared" si="31"/>
        <v>26-35</v>
      </c>
    </row>
    <row r="969" spans="1:13" x14ac:dyDescent="0.25">
      <c r="A969" s="2">
        <v>968</v>
      </c>
      <c r="B969" s="1">
        <v>46011</v>
      </c>
      <c r="C969" t="s">
        <v>694</v>
      </c>
      <c r="D969" t="s">
        <v>9</v>
      </c>
      <c r="E969">
        <v>62</v>
      </c>
      <c r="F969" s="2" t="s">
        <v>13</v>
      </c>
      <c r="G969" s="2">
        <v>3</v>
      </c>
      <c r="H969" s="5">
        <v>300</v>
      </c>
      <c r="I969" s="5">
        <f t="shared" si="30"/>
        <v>900</v>
      </c>
      <c r="J969" s="2" t="str">
        <f>TEXT([1]retail_sales_cleaned_dataset!B969,"mmmm")</f>
        <v>December</v>
      </c>
      <c r="K969" s="2">
        <f>MONTH([1]retail_sales_cleaned_dataset!B969)</f>
        <v>12</v>
      </c>
      <c r="L969" s="2">
        <f>YEAR([1]retail_sales_cleaned_dataset!B969)</f>
        <v>2025</v>
      </c>
      <c r="M969" s="2" t="str">
        <f t="shared" si="31"/>
        <v>46+</v>
      </c>
    </row>
    <row r="970" spans="1:13" x14ac:dyDescent="0.25">
      <c r="A970" s="2">
        <v>969</v>
      </c>
      <c r="B970" s="1">
        <v>46011</v>
      </c>
      <c r="C970" t="s">
        <v>637</v>
      </c>
      <c r="D970" t="s">
        <v>12</v>
      </c>
      <c r="E970">
        <v>34</v>
      </c>
      <c r="F970" s="2" t="s">
        <v>13</v>
      </c>
      <c r="G970" s="2">
        <v>3</v>
      </c>
      <c r="H970" s="5">
        <v>300</v>
      </c>
      <c r="I970" s="5">
        <f t="shared" si="30"/>
        <v>900</v>
      </c>
      <c r="J970" s="2" t="str">
        <f>TEXT([1]retail_sales_cleaned_dataset!B970,"mmmm")</f>
        <v>December</v>
      </c>
      <c r="K970" s="2">
        <f>MONTH([1]retail_sales_cleaned_dataset!B970)</f>
        <v>12</v>
      </c>
      <c r="L970" s="2">
        <f>YEAR([1]retail_sales_cleaned_dataset!B970)</f>
        <v>2025</v>
      </c>
      <c r="M970" s="2" t="str">
        <f t="shared" si="31"/>
        <v>26-35</v>
      </c>
    </row>
    <row r="971" spans="1:13" x14ac:dyDescent="0.25">
      <c r="A971" s="2">
        <v>970</v>
      </c>
      <c r="B971" s="1">
        <v>46011</v>
      </c>
      <c r="C971" t="s">
        <v>695</v>
      </c>
      <c r="D971" t="s">
        <v>12</v>
      </c>
      <c r="E971">
        <v>43</v>
      </c>
      <c r="F971" s="2" t="s">
        <v>15</v>
      </c>
      <c r="G971" s="2">
        <v>4</v>
      </c>
      <c r="H971" s="5">
        <v>500</v>
      </c>
      <c r="I971" s="5">
        <f t="shared" si="30"/>
        <v>2000</v>
      </c>
      <c r="J971" s="2" t="str">
        <f>TEXT([1]retail_sales_cleaned_dataset!B971,"mmmm")</f>
        <v>December</v>
      </c>
      <c r="K971" s="2">
        <f>MONTH([1]retail_sales_cleaned_dataset!B971)</f>
        <v>12</v>
      </c>
      <c r="L971" s="2">
        <f>YEAR([1]retail_sales_cleaned_dataset!B971)</f>
        <v>2025</v>
      </c>
      <c r="M971" s="2" t="str">
        <f t="shared" si="31"/>
        <v>36-45</v>
      </c>
    </row>
    <row r="972" spans="1:13" x14ac:dyDescent="0.25">
      <c r="A972" s="2">
        <v>971</v>
      </c>
      <c r="B972" s="1">
        <v>46011</v>
      </c>
      <c r="C972" t="s">
        <v>375</v>
      </c>
      <c r="D972" t="s">
        <v>12</v>
      </c>
      <c r="E972">
        <v>38</v>
      </c>
      <c r="F972" s="2" t="s">
        <v>15</v>
      </c>
      <c r="G972" s="2">
        <v>4</v>
      </c>
      <c r="H972" s="5">
        <v>50</v>
      </c>
      <c r="I972" s="5">
        <f t="shared" si="30"/>
        <v>200</v>
      </c>
      <c r="J972" s="2" t="str">
        <f>TEXT([1]retail_sales_cleaned_dataset!B972,"mmmm")</f>
        <v>December</v>
      </c>
      <c r="K972" s="2">
        <f>MONTH([1]retail_sales_cleaned_dataset!B972)</f>
        <v>12</v>
      </c>
      <c r="L972" s="2">
        <f>YEAR([1]retail_sales_cleaned_dataset!B972)</f>
        <v>2025</v>
      </c>
      <c r="M972" s="2" t="str">
        <f t="shared" si="31"/>
        <v>36-45</v>
      </c>
    </row>
    <row r="973" spans="1:13" x14ac:dyDescent="0.25">
      <c r="A973" s="2">
        <v>972</v>
      </c>
      <c r="B973" s="1">
        <v>46012</v>
      </c>
      <c r="C973" t="s">
        <v>696</v>
      </c>
      <c r="D973" t="s">
        <v>12</v>
      </c>
      <c r="E973">
        <v>45</v>
      </c>
      <c r="F973" s="2" t="s">
        <v>10</v>
      </c>
      <c r="G973" s="2">
        <v>4</v>
      </c>
      <c r="H973" s="5">
        <v>25</v>
      </c>
      <c r="I973" s="5">
        <f t="shared" si="30"/>
        <v>100</v>
      </c>
      <c r="J973" s="2" t="str">
        <f>TEXT([1]retail_sales_cleaned_dataset!B973,"mmmm")</f>
        <v>December</v>
      </c>
      <c r="K973" s="2">
        <f>MONTH([1]retail_sales_cleaned_dataset!B973)</f>
        <v>12</v>
      </c>
      <c r="L973" s="2">
        <f>YEAR([1]retail_sales_cleaned_dataset!B973)</f>
        <v>2025</v>
      </c>
      <c r="M973" s="2" t="str">
        <f t="shared" si="31"/>
        <v>36-45</v>
      </c>
    </row>
    <row r="974" spans="1:13" x14ac:dyDescent="0.25">
      <c r="A974" s="2">
        <v>973</v>
      </c>
      <c r="B974" s="1">
        <v>46013</v>
      </c>
      <c r="C974" t="s">
        <v>75</v>
      </c>
      <c r="D974" t="s">
        <v>9</v>
      </c>
      <c r="E974">
        <v>63</v>
      </c>
      <c r="F974" s="2" t="s">
        <v>13</v>
      </c>
      <c r="G974" s="2">
        <v>1</v>
      </c>
      <c r="H974" s="5">
        <v>50</v>
      </c>
      <c r="I974" s="5">
        <f t="shared" si="30"/>
        <v>50</v>
      </c>
      <c r="J974" s="2" t="str">
        <f>TEXT([1]retail_sales_cleaned_dataset!B974,"mmmm")</f>
        <v>December</v>
      </c>
      <c r="K974" s="2">
        <f>MONTH([1]retail_sales_cleaned_dataset!B974)</f>
        <v>12</v>
      </c>
      <c r="L974" s="2">
        <f>YEAR([1]retail_sales_cleaned_dataset!B974)</f>
        <v>2025</v>
      </c>
      <c r="M974" s="2" t="str">
        <f t="shared" si="31"/>
        <v>46+</v>
      </c>
    </row>
    <row r="975" spans="1:13" x14ac:dyDescent="0.25">
      <c r="A975" s="2">
        <v>974</v>
      </c>
      <c r="B975" s="1">
        <v>46014</v>
      </c>
      <c r="C975" t="s">
        <v>697</v>
      </c>
      <c r="D975" t="s">
        <v>12</v>
      </c>
      <c r="E975">
        <v>19</v>
      </c>
      <c r="F975" s="2" t="s">
        <v>10</v>
      </c>
      <c r="G975" s="2">
        <v>1</v>
      </c>
      <c r="H975" s="5">
        <v>30</v>
      </c>
      <c r="I975" s="5">
        <f t="shared" si="30"/>
        <v>30</v>
      </c>
      <c r="J975" s="2" t="str">
        <f>TEXT([1]retail_sales_cleaned_dataset!B975,"mmmm")</f>
        <v>December</v>
      </c>
      <c r="K975" s="2">
        <f>MONTH([1]retail_sales_cleaned_dataset!B975)</f>
        <v>12</v>
      </c>
      <c r="L975" s="2">
        <f>YEAR([1]retail_sales_cleaned_dataset!B975)</f>
        <v>2025</v>
      </c>
      <c r="M975" s="2" t="str">
        <f t="shared" si="31"/>
        <v>18-25</v>
      </c>
    </row>
    <row r="976" spans="1:13" x14ac:dyDescent="0.25">
      <c r="A976" s="2">
        <v>975</v>
      </c>
      <c r="B976" s="1">
        <v>46014</v>
      </c>
      <c r="C976" t="s">
        <v>38</v>
      </c>
      <c r="D976" t="s">
        <v>12</v>
      </c>
      <c r="E976">
        <v>60</v>
      </c>
      <c r="F976" s="2" t="s">
        <v>13</v>
      </c>
      <c r="G976" s="2">
        <v>4</v>
      </c>
      <c r="H976" s="5">
        <v>50</v>
      </c>
      <c r="I976" s="5">
        <f t="shared" si="30"/>
        <v>200</v>
      </c>
      <c r="J976" s="2" t="str">
        <f>TEXT([1]retail_sales_cleaned_dataset!B976,"mmmm")</f>
        <v>December</v>
      </c>
      <c r="K976" s="2">
        <f>MONTH([1]retail_sales_cleaned_dataset!B976)</f>
        <v>12</v>
      </c>
      <c r="L976" s="2">
        <f>YEAR([1]retail_sales_cleaned_dataset!B976)</f>
        <v>2025</v>
      </c>
      <c r="M976" s="2" t="str">
        <f t="shared" si="31"/>
        <v>46+</v>
      </c>
    </row>
    <row r="977" spans="1:13" x14ac:dyDescent="0.25">
      <c r="A977" s="2">
        <v>976</v>
      </c>
      <c r="B977" s="1">
        <v>46014</v>
      </c>
      <c r="C977" t="s">
        <v>698</v>
      </c>
      <c r="D977" t="s">
        <v>12</v>
      </c>
      <c r="E977">
        <v>18</v>
      </c>
      <c r="F977" s="2" t="s">
        <v>10</v>
      </c>
      <c r="G977" s="2">
        <v>2</v>
      </c>
      <c r="H977" s="5">
        <v>300</v>
      </c>
      <c r="I977" s="5">
        <f t="shared" si="30"/>
        <v>600</v>
      </c>
      <c r="J977" s="2" t="str">
        <f>TEXT([1]retail_sales_cleaned_dataset!B977,"mmmm")</f>
        <v>December</v>
      </c>
      <c r="K977" s="2">
        <f>MONTH([1]retail_sales_cleaned_dataset!B977)</f>
        <v>12</v>
      </c>
      <c r="L977" s="2">
        <f>YEAR([1]retail_sales_cleaned_dataset!B977)</f>
        <v>2025</v>
      </c>
      <c r="M977" s="2" t="str">
        <f t="shared" si="31"/>
        <v>18-25</v>
      </c>
    </row>
    <row r="978" spans="1:13" x14ac:dyDescent="0.25">
      <c r="A978" s="2">
        <v>977</v>
      </c>
      <c r="B978" s="1">
        <v>46014</v>
      </c>
      <c r="C978" t="s">
        <v>125</v>
      </c>
      <c r="D978" t="s">
        <v>12</v>
      </c>
      <c r="E978">
        <v>53</v>
      </c>
      <c r="F978" s="2" t="s">
        <v>15</v>
      </c>
      <c r="G978" s="2">
        <v>3</v>
      </c>
      <c r="H978" s="5">
        <v>25</v>
      </c>
      <c r="I978" s="5">
        <f t="shared" si="30"/>
        <v>75</v>
      </c>
      <c r="J978" s="2" t="str">
        <f>TEXT([1]retail_sales_cleaned_dataset!B978,"mmmm")</f>
        <v>December</v>
      </c>
      <c r="K978" s="2">
        <f>MONTH([1]retail_sales_cleaned_dataset!B978)</f>
        <v>12</v>
      </c>
      <c r="L978" s="2">
        <f>YEAR([1]retail_sales_cleaned_dataset!B978)</f>
        <v>2025</v>
      </c>
      <c r="M978" s="2" t="str">
        <f t="shared" si="31"/>
        <v>46+</v>
      </c>
    </row>
    <row r="979" spans="1:13" x14ac:dyDescent="0.25">
      <c r="A979" s="2">
        <v>978</v>
      </c>
      <c r="B979" s="1">
        <v>46014</v>
      </c>
      <c r="C979" t="s">
        <v>699</v>
      </c>
      <c r="D979" t="s">
        <v>12</v>
      </c>
      <c r="E979">
        <v>43</v>
      </c>
      <c r="F979" s="2" t="s">
        <v>13</v>
      </c>
      <c r="G979" s="2">
        <v>3</v>
      </c>
      <c r="H979" s="5">
        <v>50</v>
      </c>
      <c r="I979" s="5">
        <f t="shared" si="30"/>
        <v>150</v>
      </c>
      <c r="J979" s="2" t="str">
        <f>TEXT([1]retail_sales_cleaned_dataset!B979,"mmmm")</f>
        <v>December</v>
      </c>
      <c r="K979" s="2">
        <f>MONTH([1]retail_sales_cleaned_dataset!B979)</f>
        <v>12</v>
      </c>
      <c r="L979" s="2">
        <f>YEAR([1]retail_sales_cleaned_dataset!B979)</f>
        <v>2025</v>
      </c>
      <c r="M979" s="2" t="str">
        <f t="shared" si="31"/>
        <v>36-45</v>
      </c>
    </row>
    <row r="980" spans="1:13" x14ac:dyDescent="0.25">
      <c r="A980" s="2">
        <v>979</v>
      </c>
      <c r="B980" s="1">
        <v>46014</v>
      </c>
      <c r="C980" t="s">
        <v>223</v>
      </c>
      <c r="D980" t="s">
        <v>9</v>
      </c>
      <c r="E980">
        <v>46</v>
      </c>
      <c r="F980" s="2" t="s">
        <v>10</v>
      </c>
      <c r="G980" s="2">
        <v>1</v>
      </c>
      <c r="H980" s="5">
        <v>25</v>
      </c>
      <c r="I980" s="5">
        <f t="shared" si="30"/>
        <v>25</v>
      </c>
      <c r="J980" s="2" t="str">
        <f>TEXT([1]retail_sales_cleaned_dataset!B980,"mmmm")</f>
        <v>December</v>
      </c>
      <c r="K980" s="2">
        <f>MONTH([1]retail_sales_cleaned_dataset!B980)</f>
        <v>12</v>
      </c>
      <c r="L980" s="2">
        <f>YEAR([1]retail_sales_cleaned_dataset!B980)</f>
        <v>2025</v>
      </c>
      <c r="M980" s="2" t="str">
        <f t="shared" si="31"/>
        <v>46+</v>
      </c>
    </row>
    <row r="981" spans="1:13" x14ac:dyDescent="0.25">
      <c r="A981" s="2">
        <v>980</v>
      </c>
      <c r="B981" s="1">
        <v>46015</v>
      </c>
      <c r="C981" t="s">
        <v>700</v>
      </c>
      <c r="D981" t="s">
        <v>9</v>
      </c>
      <c r="E981">
        <v>38</v>
      </c>
      <c r="F981" s="2" t="s">
        <v>15</v>
      </c>
      <c r="G981" s="2">
        <v>3</v>
      </c>
      <c r="H981" s="5">
        <v>25</v>
      </c>
      <c r="I981" s="5">
        <f t="shared" si="30"/>
        <v>75</v>
      </c>
      <c r="J981" s="2" t="str">
        <f>TEXT([1]retail_sales_cleaned_dataset!B981,"mmmm")</f>
        <v>December</v>
      </c>
      <c r="K981" s="2">
        <f>MONTH([1]retail_sales_cleaned_dataset!B981)</f>
        <v>12</v>
      </c>
      <c r="L981" s="2">
        <f>YEAR([1]retail_sales_cleaned_dataset!B981)</f>
        <v>2025</v>
      </c>
      <c r="M981" s="2" t="str">
        <f t="shared" si="31"/>
        <v>36-45</v>
      </c>
    </row>
    <row r="982" spans="1:13" x14ac:dyDescent="0.25">
      <c r="A982" s="2">
        <v>981</v>
      </c>
      <c r="B982" s="1">
        <v>46015</v>
      </c>
      <c r="C982" t="s">
        <v>701</v>
      </c>
      <c r="D982" t="s">
        <v>12</v>
      </c>
      <c r="E982">
        <v>28</v>
      </c>
      <c r="F982" s="2" t="s">
        <v>15</v>
      </c>
      <c r="G982" s="2">
        <v>2</v>
      </c>
      <c r="H982" s="5">
        <v>30</v>
      </c>
      <c r="I982" s="5">
        <f t="shared" si="30"/>
        <v>60</v>
      </c>
      <c r="J982" s="2" t="str">
        <f>TEXT([1]retail_sales_cleaned_dataset!B982,"mmmm")</f>
        <v>December</v>
      </c>
      <c r="K982" s="2">
        <f>MONTH([1]retail_sales_cleaned_dataset!B982)</f>
        <v>12</v>
      </c>
      <c r="L982" s="2">
        <f>YEAR([1]retail_sales_cleaned_dataset!B982)</f>
        <v>2025</v>
      </c>
      <c r="M982" s="2" t="str">
        <f t="shared" si="31"/>
        <v>26-35</v>
      </c>
    </row>
    <row r="983" spans="1:13" x14ac:dyDescent="0.25">
      <c r="A983" s="2">
        <v>982</v>
      </c>
      <c r="B983" s="1">
        <v>46016</v>
      </c>
      <c r="C983" t="s">
        <v>702</v>
      </c>
      <c r="D983" t="s">
        <v>9</v>
      </c>
      <c r="E983">
        <v>57</v>
      </c>
      <c r="F983" s="2" t="s">
        <v>10</v>
      </c>
      <c r="G983" s="2">
        <v>3</v>
      </c>
      <c r="H983" s="5">
        <v>30</v>
      </c>
      <c r="I983" s="5">
        <f t="shared" si="30"/>
        <v>90</v>
      </c>
      <c r="J983" s="2" t="str">
        <f>TEXT([1]retail_sales_cleaned_dataset!B983,"mmmm")</f>
        <v>December</v>
      </c>
      <c r="K983" s="2">
        <f>MONTH([1]retail_sales_cleaned_dataset!B983)</f>
        <v>12</v>
      </c>
      <c r="L983" s="2">
        <f>YEAR([1]retail_sales_cleaned_dataset!B983)</f>
        <v>2025</v>
      </c>
      <c r="M983" s="2" t="str">
        <f t="shared" si="31"/>
        <v>46+</v>
      </c>
    </row>
    <row r="984" spans="1:13" x14ac:dyDescent="0.25">
      <c r="A984" s="2">
        <v>983</v>
      </c>
      <c r="B984" s="1">
        <v>46017</v>
      </c>
      <c r="C984" t="s">
        <v>703</v>
      </c>
      <c r="D984" t="s">
        <v>12</v>
      </c>
      <c r="E984">
        <v>28</v>
      </c>
      <c r="F984" s="2" t="s">
        <v>13</v>
      </c>
      <c r="G984" s="2">
        <v>1</v>
      </c>
      <c r="H984" s="5">
        <v>300</v>
      </c>
      <c r="I984" s="5">
        <f t="shared" si="30"/>
        <v>300</v>
      </c>
      <c r="J984" s="2" t="str">
        <f>TEXT([1]retail_sales_cleaned_dataset!B984,"mmmm")</f>
        <v>December</v>
      </c>
      <c r="K984" s="2">
        <f>MONTH([1]retail_sales_cleaned_dataset!B984)</f>
        <v>12</v>
      </c>
      <c r="L984" s="2">
        <f>YEAR([1]retail_sales_cleaned_dataset!B984)</f>
        <v>2025</v>
      </c>
      <c r="M984" s="2" t="str">
        <f t="shared" si="31"/>
        <v>26-35</v>
      </c>
    </row>
    <row r="985" spans="1:13" x14ac:dyDescent="0.25">
      <c r="A985" s="2">
        <v>984</v>
      </c>
      <c r="B985" s="1">
        <v>46017</v>
      </c>
      <c r="C985" t="s">
        <v>704</v>
      </c>
      <c r="D985" t="s">
        <v>12</v>
      </c>
      <c r="E985">
        <v>53</v>
      </c>
      <c r="F985" s="2" t="s">
        <v>13</v>
      </c>
      <c r="G985" s="2">
        <v>1</v>
      </c>
      <c r="H985" s="5">
        <v>500</v>
      </c>
      <c r="I985" s="5">
        <f t="shared" si="30"/>
        <v>500</v>
      </c>
      <c r="J985" s="2" t="str">
        <f>TEXT([1]retail_sales_cleaned_dataset!B985,"mmmm")</f>
        <v>December</v>
      </c>
      <c r="K985" s="2">
        <f>MONTH([1]retail_sales_cleaned_dataset!B985)</f>
        <v>12</v>
      </c>
      <c r="L985" s="2">
        <f>YEAR([1]retail_sales_cleaned_dataset!B985)</f>
        <v>2025</v>
      </c>
      <c r="M985" s="2" t="str">
        <f t="shared" si="31"/>
        <v>46+</v>
      </c>
    </row>
    <row r="986" spans="1:13" x14ac:dyDescent="0.25">
      <c r="A986" s="2">
        <v>985</v>
      </c>
      <c r="B986" s="1">
        <v>46017</v>
      </c>
      <c r="C986" t="s">
        <v>705</v>
      </c>
      <c r="D986" t="s">
        <v>9</v>
      </c>
      <c r="E986">
        <v>56</v>
      </c>
      <c r="F986" s="2" t="s">
        <v>15</v>
      </c>
      <c r="G986" s="2">
        <v>2</v>
      </c>
      <c r="H986" s="5">
        <v>25</v>
      </c>
      <c r="I986" s="5">
        <f t="shared" si="30"/>
        <v>50</v>
      </c>
      <c r="J986" s="2" t="str">
        <f>TEXT([1]retail_sales_cleaned_dataset!B986,"mmmm")</f>
        <v>December</v>
      </c>
      <c r="K986" s="2">
        <f>MONTH([1]retail_sales_cleaned_dataset!B986)</f>
        <v>12</v>
      </c>
      <c r="L986" s="2">
        <f>YEAR([1]retail_sales_cleaned_dataset!B986)</f>
        <v>2025</v>
      </c>
      <c r="M986" s="2" t="str">
        <f t="shared" si="31"/>
        <v>46+</v>
      </c>
    </row>
    <row r="987" spans="1:13" x14ac:dyDescent="0.25">
      <c r="A987" s="2">
        <v>986</v>
      </c>
      <c r="B987" s="1">
        <v>46017</v>
      </c>
      <c r="C987" t="s">
        <v>706</v>
      </c>
      <c r="D987" t="s">
        <v>9</v>
      </c>
      <c r="E987">
        <v>57</v>
      </c>
      <c r="F987" s="2" t="s">
        <v>13</v>
      </c>
      <c r="G987" s="2">
        <v>2</v>
      </c>
      <c r="H987" s="5">
        <v>500</v>
      </c>
      <c r="I987" s="5">
        <f t="shared" si="30"/>
        <v>1000</v>
      </c>
      <c r="J987" s="2" t="str">
        <f>TEXT([1]retail_sales_cleaned_dataset!B987,"mmmm")</f>
        <v>December</v>
      </c>
      <c r="K987" s="2">
        <f>MONTH([1]retail_sales_cleaned_dataset!B987)</f>
        <v>12</v>
      </c>
      <c r="L987" s="2">
        <f>YEAR([1]retail_sales_cleaned_dataset!B987)</f>
        <v>2025</v>
      </c>
      <c r="M987" s="2" t="str">
        <f t="shared" si="31"/>
        <v>46+</v>
      </c>
    </row>
    <row r="988" spans="1:13" x14ac:dyDescent="0.25">
      <c r="A988" s="2">
        <v>987</v>
      </c>
      <c r="B988" s="1">
        <v>46017</v>
      </c>
      <c r="C988" t="s">
        <v>106</v>
      </c>
      <c r="D988" t="s">
        <v>12</v>
      </c>
      <c r="E988">
        <v>52</v>
      </c>
      <c r="F988" s="2" t="s">
        <v>13</v>
      </c>
      <c r="G988" s="2">
        <v>3</v>
      </c>
      <c r="H988" s="5">
        <v>300</v>
      </c>
      <c r="I988" s="5">
        <f t="shared" si="30"/>
        <v>900</v>
      </c>
      <c r="J988" s="2" t="str">
        <f>TEXT([1]retail_sales_cleaned_dataset!B988,"mmmm")</f>
        <v>December</v>
      </c>
      <c r="K988" s="2">
        <f>MONTH([1]retail_sales_cleaned_dataset!B988)</f>
        <v>12</v>
      </c>
      <c r="L988" s="2">
        <f>YEAR([1]retail_sales_cleaned_dataset!B988)</f>
        <v>2025</v>
      </c>
      <c r="M988" s="2" t="str">
        <f t="shared" si="31"/>
        <v>46+</v>
      </c>
    </row>
    <row r="989" spans="1:13" x14ac:dyDescent="0.25">
      <c r="A989" s="2">
        <v>988</v>
      </c>
      <c r="B989" s="1">
        <v>46017</v>
      </c>
      <c r="C989" t="s">
        <v>707</v>
      </c>
      <c r="D989" t="s">
        <v>12</v>
      </c>
      <c r="E989">
        <v>51</v>
      </c>
      <c r="F989" s="2" t="s">
        <v>13</v>
      </c>
      <c r="G989" s="2">
        <v>3</v>
      </c>
      <c r="H989" s="5">
        <v>25</v>
      </c>
      <c r="I989" s="5">
        <f t="shared" si="30"/>
        <v>75</v>
      </c>
      <c r="J989" s="2" t="str">
        <f>TEXT([1]retail_sales_cleaned_dataset!B989,"mmmm")</f>
        <v>December</v>
      </c>
      <c r="K989" s="2">
        <f>MONTH([1]retail_sales_cleaned_dataset!B989)</f>
        <v>12</v>
      </c>
      <c r="L989" s="2">
        <f>YEAR([1]retail_sales_cleaned_dataset!B989)</f>
        <v>2025</v>
      </c>
      <c r="M989" s="2" t="str">
        <f t="shared" si="31"/>
        <v>46+</v>
      </c>
    </row>
    <row r="990" spans="1:13" x14ac:dyDescent="0.25">
      <c r="A990" s="2">
        <v>989</v>
      </c>
      <c r="B990" s="1">
        <v>46018</v>
      </c>
      <c r="C990" t="s">
        <v>708</v>
      </c>
      <c r="D990" t="s">
        <v>12</v>
      </c>
      <c r="E990">
        <v>64</v>
      </c>
      <c r="F990" s="2" t="s">
        <v>15</v>
      </c>
      <c r="G990" s="2">
        <v>1</v>
      </c>
      <c r="H990" s="5">
        <v>25</v>
      </c>
      <c r="I990" s="5">
        <f t="shared" si="30"/>
        <v>25</v>
      </c>
      <c r="J990" s="2" t="str">
        <f>TEXT([1]retail_sales_cleaned_dataset!B990,"mmmm")</f>
        <v>December</v>
      </c>
      <c r="K990" s="2">
        <f>MONTH([1]retail_sales_cleaned_dataset!B990)</f>
        <v>12</v>
      </c>
      <c r="L990" s="2">
        <f>YEAR([1]retail_sales_cleaned_dataset!B990)</f>
        <v>2025</v>
      </c>
      <c r="M990" s="2" t="str">
        <f t="shared" si="31"/>
        <v>46+</v>
      </c>
    </row>
    <row r="991" spans="1:13" x14ac:dyDescent="0.25">
      <c r="A991" s="2">
        <v>990</v>
      </c>
      <c r="B991" s="1">
        <v>46018</v>
      </c>
      <c r="C991" t="s">
        <v>709</v>
      </c>
      <c r="D991" t="s">
        <v>9</v>
      </c>
      <c r="E991">
        <v>41</v>
      </c>
      <c r="F991" s="2" t="s">
        <v>10</v>
      </c>
      <c r="G991" s="2">
        <v>2</v>
      </c>
      <c r="H991" s="5">
        <v>500</v>
      </c>
      <c r="I991" s="5">
        <f t="shared" si="30"/>
        <v>1000</v>
      </c>
      <c r="J991" s="2" t="str">
        <f>TEXT([1]retail_sales_cleaned_dataset!B991,"mmmm")</f>
        <v>December</v>
      </c>
      <c r="K991" s="2">
        <f>MONTH([1]retail_sales_cleaned_dataset!B991)</f>
        <v>12</v>
      </c>
      <c r="L991" s="2">
        <f>YEAR([1]retail_sales_cleaned_dataset!B991)</f>
        <v>2025</v>
      </c>
      <c r="M991" s="2" t="str">
        <f t="shared" si="31"/>
        <v>36-45</v>
      </c>
    </row>
    <row r="992" spans="1:13" x14ac:dyDescent="0.25">
      <c r="A992" s="2">
        <v>991</v>
      </c>
      <c r="B992" s="1">
        <v>46019</v>
      </c>
      <c r="C992" t="s">
        <v>210</v>
      </c>
      <c r="D992" t="s">
        <v>12</v>
      </c>
      <c r="E992">
        <v>39</v>
      </c>
      <c r="F992" s="2" t="s">
        <v>13</v>
      </c>
      <c r="G992" s="2">
        <v>2</v>
      </c>
      <c r="H992" s="5">
        <v>50</v>
      </c>
      <c r="I992" s="5">
        <f t="shared" si="30"/>
        <v>100</v>
      </c>
      <c r="J992" s="2" t="str">
        <f>TEXT([1]retail_sales_cleaned_dataset!B992,"mmmm")</f>
        <v>December</v>
      </c>
      <c r="K992" s="2">
        <f>MONTH([1]retail_sales_cleaned_dataset!B992)</f>
        <v>12</v>
      </c>
      <c r="L992" s="2">
        <f>YEAR([1]retail_sales_cleaned_dataset!B992)</f>
        <v>2025</v>
      </c>
      <c r="M992" s="2" t="str">
        <f t="shared" si="31"/>
        <v>36-45</v>
      </c>
    </row>
    <row r="993" spans="1:13" x14ac:dyDescent="0.25">
      <c r="A993" s="2">
        <v>992</v>
      </c>
      <c r="B993" s="1">
        <v>46019</v>
      </c>
      <c r="C993" t="s">
        <v>710</v>
      </c>
      <c r="D993" t="s">
        <v>12</v>
      </c>
      <c r="E993">
        <v>22</v>
      </c>
      <c r="F993" s="2" t="s">
        <v>15</v>
      </c>
      <c r="G993" s="2">
        <v>2</v>
      </c>
      <c r="H993" s="5">
        <v>30</v>
      </c>
      <c r="I993" s="5">
        <f t="shared" si="30"/>
        <v>60</v>
      </c>
      <c r="J993" s="2" t="str">
        <f>TEXT([1]retail_sales_cleaned_dataset!B993,"mmmm")</f>
        <v>December</v>
      </c>
      <c r="K993" s="2">
        <f>MONTH([1]retail_sales_cleaned_dataset!B993)</f>
        <v>12</v>
      </c>
      <c r="L993" s="2">
        <f>YEAR([1]retail_sales_cleaned_dataset!B993)</f>
        <v>2025</v>
      </c>
      <c r="M993" s="2" t="str">
        <f t="shared" si="31"/>
        <v>18-25</v>
      </c>
    </row>
    <row r="994" spans="1:13" x14ac:dyDescent="0.25">
      <c r="A994" s="2">
        <v>993</v>
      </c>
      <c r="B994" s="1">
        <v>46019</v>
      </c>
      <c r="C994" t="s">
        <v>711</v>
      </c>
      <c r="D994" t="s">
        <v>12</v>
      </c>
      <c r="E994">
        <v>50</v>
      </c>
      <c r="F994" s="2" t="s">
        <v>15</v>
      </c>
      <c r="G994" s="2">
        <v>3</v>
      </c>
      <c r="H994" s="5">
        <v>50</v>
      </c>
      <c r="I994" s="5">
        <f t="shared" si="30"/>
        <v>150</v>
      </c>
      <c r="J994" s="2" t="str">
        <f>TEXT([1]retail_sales_cleaned_dataset!B994,"mmmm")</f>
        <v>December</v>
      </c>
      <c r="K994" s="2">
        <f>MONTH([1]retail_sales_cleaned_dataset!B994)</f>
        <v>12</v>
      </c>
      <c r="L994" s="2">
        <f>YEAR([1]retail_sales_cleaned_dataset!B994)</f>
        <v>2025</v>
      </c>
      <c r="M994" s="2" t="str">
        <f t="shared" si="31"/>
        <v>46+</v>
      </c>
    </row>
    <row r="995" spans="1:13" x14ac:dyDescent="0.25">
      <c r="A995" s="2">
        <v>994</v>
      </c>
      <c r="B995" s="1">
        <v>46020</v>
      </c>
      <c r="C995" t="s">
        <v>712</v>
      </c>
      <c r="D995" t="s">
        <v>9</v>
      </c>
      <c r="E995">
        <v>53</v>
      </c>
      <c r="F995" s="2" t="s">
        <v>10</v>
      </c>
      <c r="G995" s="2">
        <v>2</v>
      </c>
      <c r="H995" s="5">
        <v>500</v>
      </c>
      <c r="I995" s="5">
        <f t="shared" si="30"/>
        <v>1000</v>
      </c>
      <c r="J995" s="2" t="str">
        <f>TEXT([1]retail_sales_cleaned_dataset!B995,"mmmm")</f>
        <v>December</v>
      </c>
      <c r="K995" s="2">
        <f>MONTH([1]retail_sales_cleaned_dataset!B995)</f>
        <v>12</v>
      </c>
      <c r="L995" s="2">
        <f>YEAR([1]retail_sales_cleaned_dataset!B995)</f>
        <v>2025</v>
      </c>
      <c r="M995" s="2" t="str">
        <f t="shared" si="31"/>
        <v>46+</v>
      </c>
    </row>
    <row r="996" spans="1:13" x14ac:dyDescent="0.25">
      <c r="A996" s="2">
        <v>995</v>
      </c>
      <c r="B996" s="1">
        <v>46020</v>
      </c>
      <c r="C996" t="s">
        <v>268</v>
      </c>
      <c r="D996" t="s">
        <v>12</v>
      </c>
      <c r="E996">
        <v>64</v>
      </c>
      <c r="F996" s="2" t="s">
        <v>13</v>
      </c>
      <c r="G996" s="2">
        <v>4</v>
      </c>
      <c r="H996" s="5">
        <v>30</v>
      </c>
      <c r="I996" s="5">
        <f t="shared" si="30"/>
        <v>120</v>
      </c>
      <c r="J996" s="2" t="str">
        <f>TEXT([1]retail_sales_cleaned_dataset!B996,"mmmm")</f>
        <v>December</v>
      </c>
      <c r="K996" s="2">
        <f>MONTH([1]retail_sales_cleaned_dataset!B996)</f>
        <v>12</v>
      </c>
      <c r="L996" s="2">
        <f>YEAR([1]retail_sales_cleaned_dataset!B996)</f>
        <v>2025</v>
      </c>
      <c r="M996" s="2" t="str">
        <f t="shared" si="31"/>
        <v>46+</v>
      </c>
    </row>
    <row r="997" spans="1:13" x14ac:dyDescent="0.25">
      <c r="A997" s="2">
        <v>996</v>
      </c>
      <c r="B997" s="1">
        <v>46020</v>
      </c>
      <c r="C997" t="s">
        <v>358</v>
      </c>
      <c r="D997" t="s">
        <v>12</v>
      </c>
      <c r="E997">
        <v>37</v>
      </c>
      <c r="F997" s="2" t="s">
        <v>13</v>
      </c>
      <c r="G997" s="2">
        <v>1</v>
      </c>
      <c r="H997" s="5">
        <v>50</v>
      </c>
      <c r="I997" s="5">
        <f t="shared" si="30"/>
        <v>50</v>
      </c>
      <c r="J997" s="2" t="str">
        <f>TEXT([1]retail_sales_cleaned_dataset!B997,"mmmm")</f>
        <v>December</v>
      </c>
      <c r="K997" s="2">
        <f>MONTH([1]retail_sales_cleaned_dataset!B997)</f>
        <v>12</v>
      </c>
      <c r="L997" s="2">
        <f>YEAR([1]retail_sales_cleaned_dataset!B997)</f>
        <v>2025</v>
      </c>
      <c r="M997" s="2" t="str">
        <f t="shared" si="31"/>
        <v>36-45</v>
      </c>
    </row>
    <row r="998" spans="1:13" x14ac:dyDescent="0.25">
      <c r="A998" s="2">
        <v>997</v>
      </c>
      <c r="B998" s="1">
        <v>46020</v>
      </c>
      <c r="C998" t="s">
        <v>713</v>
      </c>
      <c r="D998" t="s">
        <v>9</v>
      </c>
      <c r="E998">
        <v>36</v>
      </c>
      <c r="F998" s="2" t="s">
        <v>10</v>
      </c>
      <c r="G998" s="2">
        <v>3</v>
      </c>
      <c r="H998" s="5">
        <v>30</v>
      </c>
      <c r="I998" s="5">
        <f t="shared" si="30"/>
        <v>90</v>
      </c>
      <c r="J998" s="2" t="str">
        <f>TEXT([1]retail_sales_cleaned_dataset!B998,"mmmm")</f>
        <v>December</v>
      </c>
      <c r="K998" s="2">
        <f>MONTH([1]retail_sales_cleaned_dataset!B998)</f>
        <v>12</v>
      </c>
      <c r="L998" s="2">
        <f>YEAR([1]retail_sales_cleaned_dataset!B998)</f>
        <v>2025</v>
      </c>
      <c r="M998" s="2" t="str">
        <f t="shared" si="31"/>
        <v>36-45</v>
      </c>
    </row>
    <row r="999" spans="1:13" x14ac:dyDescent="0.25">
      <c r="A999" s="2">
        <v>998</v>
      </c>
      <c r="B999" s="1">
        <v>46022</v>
      </c>
      <c r="C999" t="s">
        <v>455</v>
      </c>
      <c r="D999" t="s">
        <v>12</v>
      </c>
      <c r="E999">
        <v>52</v>
      </c>
      <c r="F999" s="2" t="s">
        <v>10</v>
      </c>
      <c r="G999" s="2">
        <v>4</v>
      </c>
      <c r="H999" s="5">
        <v>25</v>
      </c>
      <c r="I999" s="5">
        <f t="shared" si="30"/>
        <v>100</v>
      </c>
      <c r="J999" s="2" t="str">
        <f>TEXT([1]retail_sales_cleaned_dataset!B999,"mmmm")</f>
        <v>December</v>
      </c>
      <c r="K999" s="2">
        <f>MONTH([1]retail_sales_cleaned_dataset!B999)</f>
        <v>12</v>
      </c>
      <c r="L999" s="2">
        <f>YEAR([1]retail_sales_cleaned_dataset!B999)</f>
        <v>2025</v>
      </c>
      <c r="M999" s="2" t="str">
        <f t="shared" si="31"/>
        <v>46+</v>
      </c>
    </row>
    <row r="1000" spans="1:13" x14ac:dyDescent="0.25">
      <c r="A1000" s="2">
        <v>999</v>
      </c>
      <c r="B1000" s="1">
        <v>46022</v>
      </c>
      <c r="C1000" t="s">
        <v>714</v>
      </c>
      <c r="D1000" t="s">
        <v>12</v>
      </c>
      <c r="E1000">
        <v>60</v>
      </c>
      <c r="F1000" s="2" t="s">
        <v>15</v>
      </c>
      <c r="G1000" s="2">
        <v>3</v>
      </c>
      <c r="H1000" s="5">
        <v>50</v>
      </c>
      <c r="I1000" s="5">
        <f t="shared" si="30"/>
        <v>150</v>
      </c>
      <c r="J1000" s="2" t="str">
        <f>TEXT([1]retail_sales_cleaned_dataset!B1000,"mmmm")</f>
        <v>December</v>
      </c>
      <c r="K1000" s="2">
        <f>MONTH([1]retail_sales_cleaned_dataset!B1000)</f>
        <v>12</v>
      </c>
      <c r="L1000" s="2">
        <f>YEAR([1]retail_sales_cleaned_dataset!B1000)</f>
        <v>2025</v>
      </c>
      <c r="M1000" s="2" t="str">
        <f t="shared" si="31"/>
        <v>46+</v>
      </c>
    </row>
    <row r="1001" spans="1:13" x14ac:dyDescent="0.25">
      <c r="A1001" s="2">
        <v>1000</v>
      </c>
      <c r="B1001" s="1">
        <v>46022</v>
      </c>
      <c r="C1001" t="s">
        <v>715</v>
      </c>
      <c r="D1001" t="s">
        <v>9</v>
      </c>
      <c r="E1001">
        <v>34</v>
      </c>
      <c r="F1001" s="2" t="s">
        <v>15</v>
      </c>
      <c r="G1001" s="2">
        <v>4</v>
      </c>
      <c r="H1001" s="5">
        <v>30</v>
      </c>
      <c r="I1001" s="5">
        <f t="shared" si="30"/>
        <v>120</v>
      </c>
      <c r="J1001" s="2" t="str">
        <f>TEXT([1]retail_sales_cleaned_dataset!B1001,"mmmm")</f>
        <v>December</v>
      </c>
      <c r="K1001" s="2">
        <f>MONTH([1]retail_sales_cleaned_dataset!B1001)</f>
        <v>12</v>
      </c>
      <c r="L1001" s="2">
        <f>YEAR([1]retail_sales_cleaned_dataset!B1001)</f>
        <v>2025</v>
      </c>
      <c r="M1001" s="2" t="str">
        <f t="shared" si="31"/>
        <v>26-35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1001"/>
  <sheetViews>
    <sheetView workbookViewId="0"/>
  </sheetViews>
  <sheetFormatPr defaultRowHeight="15" x14ac:dyDescent="0.25"/>
  <cols>
    <col min="1" max="1" width="13.5703125" bestFit="1" customWidth="1"/>
    <col min="2" max="2" width="10.42578125" style="1" bestFit="1" customWidth="1"/>
    <col min="3" max="3" width="14.140625" bestFit="1" customWidth="1"/>
    <col min="4" max="4" width="9.85546875" bestFit="1" customWidth="1"/>
    <col min="5" max="5" width="6.7109375" bestFit="1" customWidth="1"/>
    <col min="6" max="6" width="18.5703125" bestFit="1" customWidth="1"/>
    <col min="7" max="7" width="11" bestFit="1" customWidth="1"/>
    <col min="8" max="9" width="15.42578125" bestFit="1" customWidth="1"/>
  </cols>
  <sheetData>
    <row r="1" spans="1:9" x14ac:dyDescent="0.25">
      <c r="A1" t="s">
        <v>0</v>
      </c>
      <c r="B1" s="3" t="s">
        <v>717</v>
      </c>
      <c r="C1" t="s">
        <v>1</v>
      </c>
      <c r="D1" t="s">
        <v>2</v>
      </c>
      <c r="E1" t="s">
        <v>3</v>
      </c>
      <c r="F1" t="s">
        <v>4</v>
      </c>
      <c r="G1" t="s">
        <v>5</v>
      </c>
      <c r="H1" t="s">
        <v>6</v>
      </c>
      <c r="I1" t="s">
        <v>7</v>
      </c>
    </row>
    <row r="2" spans="1:9" x14ac:dyDescent="0.25">
      <c r="A2">
        <v>1</v>
      </c>
      <c r="B2" s="1">
        <v>45658</v>
      </c>
      <c r="C2" t="s">
        <v>8</v>
      </c>
      <c r="D2" t="s">
        <v>9</v>
      </c>
      <c r="E2">
        <v>34</v>
      </c>
      <c r="F2" t="s">
        <v>10</v>
      </c>
      <c r="G2">
        <v>3</v>
      </c>
      <c r="H2">
        <v>50</v>
      </c>
      <c r="I2">
        <v>150</v>
      </c>
    </row>
    <row r="3" spans="1:9" x14ac:dyDescent="0.25">
      <c r="A3">
        <v>2</v>
      </c>
      <c r="B3" s="1">
        <v>45658</v>
      </c>
      <c r="C3" t="s">
        <v>11</v>
      </c>
      <c r="D3" t="s">
        <v>12</v>
      </c>
      <c r="E3">
        <v>26</v>
      </c>
      <c r="F3" t="s">
        <v>13</v>
      </c>
      <c r="G3">
        <v>2</v>
      </c>
      <c r="H3">
        <v>500</v>
      </c>
      <c r="I3">
        <v>1000</v>
      </c>
    </row>
    <row r="4" spans="1:9" x14ac:dyDescent="0.25">
      <c r="A4">
        <v>3</v>
      </c>
      <c r="B4" s="1">
        <v>45658</v>
      </c>
      <c r="C4" t="s">
        <v>14</v>
      </c>
      <c r="D4" t="s">
        <v>9</v>
      </c>
      <c r="E4">
        <v>50</v>
      </c>
      <c r="F4" t="s">
        <v>15</v>
      </c>
      <c r="G4">
        <v>1</v>
      </c>
      <c r="H4">
        <v>30</v>
      </c>
      <c r="I4">
        <v>30</v>
      </c>
    </row>
    <row r="5" spans="1:9" x14ac:dyDescent="0.25">
      <c r="A5">
        <v>4</v>
      </c>
      <c r="B5" s="1">
        <v>45659</v>
      </c>
      <c r="C5" t="s">
        <v>16</v>
      </c>
      <c r="D5" t="s">
        <v>9</v>
      </c>
      <c r="E5">
        <v>37</v>
      </c>
      <c r="F5" t="s">
        <v>13</v>
      </c>
      <c r="G5">
        <v>1</v>
      </c>
      <c r="H5">
        <v>500</v>
      </c>
      <c r="I5">
        <v>500</v>
      </c>
    </row>
    <row r="6" spans="1:9" x14ac:dyDescent="0.25">
      <c r="A6">
        <v>5</v>
      </c>
      <c r="B6" s="1">
        <v>45659</v>
      </c>
      <c r="C6" t="s">
        <v>17</v>
      </c>
      <c r="D6" t="s">
        <v>9</v>
      </c>
      <c r="E6">
        <v>30</v>
      </c>
      <c r="F6" t="s">
        <v>10</v>
      </c>
      <c r="G6">
        <v>2</v>
      </c>
      <c r="H6">
        <v>50</v>
      </c>
      <c r="I6">
        <v>100</v>
      </c>
    </row>
    <row r="7" spans="1:9" x14ac:dyDescent="0.25">
      <c r="A7">
        <v>6</v>
      </c>
      <c r="B7" s="1">
        <v>45659</v>
      </c>
      <c r="C7" t="s">
        <v>18</v>
      </c>
      <c r="D7" t="s">
        <v>12</v>
      </c>
      <c r="E7">
        <v>45</v>
      </c>
      <c r="F7" t="s">
        <v>10</v>
      </c>
      <c r="G7">
        <v>1</v>
      </c>
      <c r="H7">
        <v>30</v>
      </c>
      <c r="I7">
        <v>30</v>
      </c>
    </row>
    <row r="8" spans="1:9" x14ac:dyDescent="0.25">
      <c r="A8">
        <v>7</v>
      </c>
      <c r="B8" s="1">
        <v>45659</v>
      </c>
      <c r="C8" t="s">
        <v>19</v>
      </c>
      <c r="D8" t="s">
        <v>9</v>
      </c>
      <c r="E8">
        <v>46</v>
      </c>
      <c r="F8" t="s">
        <v>13</v>
      </c>
      <c r="G8">
        <v>2</v>
      </c>
      <c r="H8">
        <v>25</v>
      </c>
      <c r="I8">
        <v>50</v>
      </c>
    </row>
    <row r="9" spans="1:9" x14ac:dyDescent="0.25">
      <c r="A9">
        <v>8</v>
      </c>
      <c r="B9" s="1">
        <v>45660</v>
      </c>
      <c r="C9" t="s">
        <v>20</v>
      </c>
      <c r="D9" t="s">
        <v>9</v>
      </c>
      <c r="E9">
        <v>30</v>
      </c>
      <c r="F9" t="s">
        <v>15</v>
      </c>
      <c r="G9">
        <v>4</v>
      </c>
      <c r="H9">
        <v>25</v>
      </c>
      <c r="I9">
        <v>100</v>
      </c>
    </row>
    <row r="10" spans="1:9" x14ac:dyDescent="0.25">
      <c r="A10">
        <v>9</v>
      </c>
      <c r="B10" s="1">
        <v>45661</v>
      </c>
      <c r="C10" t="s">
        <v>21</v>
      </c>
      <c r="D10" t="s">
        <v>9</v>
      </c>
      <c r="E10">
        <v>63</v>
      </c>
      <c r="F10" t="s">
        <v>15</v>
      </c>
      <c r="G10">
        <v>2</v>
      </c>
      <c r="H10">
        <v>300</v>
      </c>
      <c r="I10">
        <v>600</v>
      </c>
    </row>
    <row r="11" spans="1:9" x14ac:dyDescent="0.25">
      <c r="A11">
        <v>10</v>
      </c>
      <c r="B11" s="1">
        <v>45661</v>
      </c>
      <c r="C11" t="s">
        <v>22</v>
      </c>
      <c r="D11" t="s">
        <v>12</v>
      </c>
      <c r="E11">
        <v>52</v>
      </c>
      <c r="F11" t="s">
        <v>13</v>
      </c>
      <c r="G11">
        <v>4</v>
      </c>
      <c r="H11">
        <v>50</v>
      </c>
      <c r="I11">
        <v>200</v>
      </c>
    </row>
    <row r="12" spans="1:9" x14ac:dyDescent="0.25">
      <c r="A12">
        <v>11</v>
      </c>
      <c r="B12" s="1">
        <v>45661</v>
      </c>
      <c r="C12" t="s">
        <v>23</v>
      </c>
      <c r="D12" t="s">
        <v>9</v>
      </c>
      <c r="E12">
        <v>23</v>
      </c>
      <c r="F12" t="s">
        <v>13</v>
      </c>
      <c r="G12">
        <v>2</v>
      </c>
      <c r="H12">
        <v>50</v>
      </c>
      <c r="I12">
        <v>100</v>
      </c>
    </row>
    <row r="13" spans="1:9" x14ac:dyDescent="0.25">
      <c r="A13">
        <v>12</v>
      </c>
      <c r="B13" s="1">
        <v>45662</v>
      </c>
      <c r="C13" t="s">
        <v>24</v>
      </c>
      <c r="D13" t="s">
        <v>9</v>
      </c>
      <c r="E13">
        <v>35</v>
      </c>
      <c r="F13" t="s">
        <v>10</v>
      </c>
      <c r="G13">
        <v>3</v>
      </c>
      <c r="H13">
        <v>25</v>
      </c>
      <c r="I13">
        <v>75</v>
      </c>
    </row>
    <row r="14" spans="1:9" x14ac:dyDescent="0.25">
      <c r="A14">
        <v>13</v>
      </c>
      <c r="B14" s="1">
        <v>45662</v>
      </c>
      <c r="C14" t="s">
        <v>25</v>
      </c>
      <c r="D14" t="s">
        <v>9</v>
      </c>
      <c r="E14">
        <v>22</v>
      </c>
      <c r="F14" t="s">
        <v>15</v>
      </c>
      <c r="G14">
        <v>3</v>
      </c>
      <c r="H14">
        <v>500</v>
      </c>
      <c r="I14">
        <v>1500</v>
      </c>
    </row>
    <row r="15" spans="1:9" x14ac:dyDescent="0.25">
      <c r="A15">
        <v>14</v>
      </c>
      <c r="B15" s="1">
        <v>45662</v>
      </c>
      <c r="C15" t="s">
        <v>26</v>
      </c>
      <c r="D15" t="s">
        <v>9</v>
      </c>
      <c r="E15">
        <v>64</v>
      </c>
      <c r="F15" t="s">
        <v>13</v>
      </c>
      <c r="G15">
        <v>4</v>
      </c>
      <c r="H15">
        <v>30</v>
      </c>
      <c r="I15">
        <v>120</v>
      </c>
    </row>
    <row r="16" spans="1:9" x14ac:dyDescent="0.25">
      <c r="A16">
        <v>15</v>
      </c>
      <c r="B16" s="1">
        <v>45663</v>
      </c>
      <c r="C16" t="s">
        <v>27</v>
      </c>
      <c r="D16" t="s">
        <v>12</v>
      </c>
      <c r="E16">
        <v>42</v>
      </c>
      <c r="F16" t="s">
        <v>15</v>
      </c>
      <c r="G16">
        <v>4</v>
      </c>
      <c r="H16">
        <v>500</v>
      </c>
      <c r="I16">
        <v>2000</v>
      </c>
    </row>
    <row r="17" spans="1:9" x14ac:dyDescent="0.25">
      <c r="A17">
        <v>16</v>
      </c>
      <c r="B17" s="1">
        <v>45663</v>
      </c>
      <c r="C17" t="s">
        <v>28</v>
      </c>
      <c r="D17" t="s">
        <v>9</v>
      </c>
      <c r="E17">
        <v>19</v>
      </c>
      <c r="F17" t="s">
        <v>13</v>
      </c>
      <c r="G17">
        <v>3</v>
      </c>
      <c r="H17">
        <v>500</v>
      </c>
      <c r="I17">
        <v>1500</v>
      </c>
    </row>
    <row r="18" spans="1:9" x14ac:dyDescent="0.25">
      <c r="A18">
        <v>17</v>
      </c>
      <c r="B18" s="1">
        <v>45664</v>
      </c>
      <c r="C18" t="s">
        <v>29</v>
      </c>
      <c r="D18" t="s">
        <v>12</v>
      </c>
      <c r="E18">
        <v>27</v>
      </c>
      <c r="F18" t="s">
        <v>13</v>
      </c>
      <c r="G18">
        <v>4</v>
      </c>
      <c r="H18">
        <v>25</v>
      </c>
      <c r="I18">
        <v>100</v>
      </c>
    </row>
    <row r="19" spans="1:9" x14ac:dyDescent="0.25">
      <c r="A19">
        <v>18</v>
      </c>
      <c r="B19" s="1">
        <v>45664</v>
      </c>
      <c r="C19" t="s">
        <v>30</v>
      </c>
      <c r="D19" t="s">
        <v>12</v>
      </c>
      <c r="E19">
        <v>47</v>
      </c>
      <c r="F19" t="s">
        <v>15</v>
      </c>
      <c r="G19">
        <v>2</v>
      </c>
      <c r="H19">
        <v>25</v>
      </c>
      <c r="I19">
        <v>50</v>
      </c>
    </row>
    <row r="20" spans="1:9" x14ac:dyDescent="0.25">
      <c r="A20">
        <v>19</v>
      </c>
      <c r="B20" s="1">
        <v>45665</v>
      </c>
      <c r="C20" t="s">
        <v>31</v>
      </c>
      <c r="D20" t="s">
        <v>12</v>
      </c>
      <c r="E20">
        <v>62</v>
      </c>
      <c r="F20" t="s">
        <v>13</v>
      </c>
      <c r="G20">
        <v>2</v>
      </c>
      <c r="H20">
        <v>25</v>
      </c>
      <c r="I20">
        <v>50</v>
      </c>
    </row>
    <row r="21" spans="1:9" x14ac:dyDescent="0.25">
      <c r="A21">
        <v>20</v>
      </c>
      <c r="B21" s="1">
        <v>45665</v>
      </c>
      <c r="C21" t="s">
        <v>32</v>
      </c>
      <c r="D21" t="s">
        <v>9</v>
      </c>
      <c r="E21">
        <v>22</v>
      </c>
      <c r="F21" t="s">
        <v>13</v>
      </c>
      <c r="G21">
        <v>3</v>
      </c>
      <c r="H21">
        <v>300</v>
      </c>
      <c r="I21">
        <v>900</v>
      </c>
    </row>
    <row r="22" spans="1:9" x14ac:dyDescent="0.25">
      <c r="A22">
        <v>21</v>
      </c>
      <c r="B22" s="1">
        <v>45666</v>
      </c>
      <c r="C22" t="s">
        <v>33</v>
      </c>
      <c r="D22" t="s">
        <v>12</v>
      </c>
      <c r="E22">
        <v>50</v>
      </c>
      <c r="F22" t="s">
        <v>10</v>
      </c>
      <c r="G22">
        <v>1</v>
      </c>
      <c r="H22">
        <v>500</v>
      </c>
      <c r="I22">
        <v>500</v>
      </c>
    </row>
    <row r="23" spans="1:9" x14ac:dyDescent="0.25">
      <c r="A23">
        <v>22</v>
      </c>
      <c r="B23" s="1">
        <v>45667</v>
      </c>
      <c r="C23" t="s">
        <v>34</v>
      </c>
      <c r="D23" t="s">
        <v>9</v>
      </c>
      <c r="E23">
        <v>18</v>
      </c>
      <c r="F23" t="s">
        <v>13</v>
      </c>
      <c r="G23">
        <v>2</v>
      </c>
      <c r="H23">
        <v>50</v>
      </c>
      <c r="I23">
        <v>100</v>
      </c>
    </row>
    <row r="24" spans="1:9" x14ac:dyDescent="0.25">
      <c r="A24">
        <v>23</v>
      </c>
      <c r="B24" s="1">
        <v>45667</v>
      </c>
      <c r="C24" t="s">
        <v>35</v>
      </c>
      <c r="D24" t="s">
        <v>12</v>
      </c>
      <c r="E24">
        <v>35</v>
      </c>
      <c r="F24" t="s">
        <v>13</v>
      </c>
      <c r="G24">
        <v>4</v>
      </c>
      <c r="H24">
        <v>30</v>
      </c>
      <c r="I24">
        <v>120</v>
      </c>
    </row>
    <row r="25" spans="1:9" x14ac:dyDescent="0.25">
      <c r="A25">
        <v>24</v>
      </c>
      <c r="B25" s="1">
        <v>45668</v>
      </c>
      <c r="C25" t="s">
        <v>36</v>
      </c>
      <c r="D25" t="s">
        <v>12</v>
      </c>
      <c r="E25">
        <v>49</v>
      </c>
      <c r="F25" t="s">
        <v>13</v>
      </c>
      <c r="G25">
        <v>1</v>
      </c>
      <c r="H25">
        <v>300</v>
      </c>
      <c r="I25">
        <v>300</v>
      </c>
    </row>
    <row r="26" spans="1:9" x14ac:dyDescent="0.25">
      <c r="A26">
        <v>25</v>
      </c>
      <c r="B26" s="1">
        <v>45668</v>
      </c>
      <c r="C26" t="s">
        <v>37</v>
      </c>
      <c r="D26" t="s">
        <v>12</v>
      </c>
      <c r="E26">
        <v>64</v>
      </c>
      <c r="F26" t="s">
        <v>10</v>
      </c>
      <c r="G26">
        <v>1</v>
      </c>
      <c r="H26">
        <v>50</v>
      </c>
      <c r="I26">
        <v>50</v>
      </c>
    </row>
    <row r="27" spans="1:9" x14ac:dyDescent="0.25">
      <c r="A27">
        <v>26</v>
      </c>
      <c r="B27" s="1">
        <v>45668</v>
      </c>
      <c r="C27" t="s">
        <v>38</v>
      </c>
      <c r="D27" t="s">
        <v>12</v>
      </c>
      <c r="E27">
        <v>28</v>
      </c>
      <c r="F27" t="s">
        <v>15</v>
      </c>
      <c r="G27">
        <v>2</v>
      </c>
      <c r="H27">
        <v>500</v>
      </c>
      <c r="I27">
        <v>1000</v>
      </c>
    </row>
    <row r="28" spans="1:9" x14ac:dyDescent="0.25">
      <c r="A28">
        <v>27</v>
      </c>
      <c r="B28" s="1">
        <v>45670</v>
      </c>
      <c r="C28" t="s">
        <v>39</v>
      </c>
      <c r="D28" t="s">
        <v>12</v>
      </c>
      <c r="E28">
        <v>38</v>
      </c>
      <c r="F28" t="s">
        <v>10</v>
      </c>
      <c r="G28">
        <v>2</v>
      </c>
      <c r="H28">
        <v>25</v>
      </c>
      <c r="I28">
        <v>50</v>
      </c>
    </row>
    <row r="29" spans="1:9" x14ac:dyDescent="0.25">
      <c r="A29">
        <v>28</v>
      </c>
      <c r="B29" s="1">
        <v>45670</v>
      </c>
      <c r="C29" t="s">
        <v>40</v>
      </c>
      <c r="D29" t="s">
        <v>12</v>
      </c>
      <c r="E29">
        <v>43</v>
      </c>
      <c r="F29" t="s">
        <v>10</v>
      </c>
      <c r="G29">
        <v>1</v>
      </c>
      <c r="H29">
        <v>500</v>
      </c>
      <c r="I29">
        <v>500</v>
      </c>
    </row>
    <row r="30" spans="1:9" x14ac:dyDescent="0.25">
      <c r="A30">
        <v>29</v>
      </c>
      <c r="B30" s="1">
        <v>45670</v>
      </c>
      <c r="C30" t="s">
        <v>41</v>
      </c>
      <c r="D30" t="s">
        <v>12</v>
      </c>
      <c r="E30">
        <v>42</v>
      </c>
      <c r="F30" t="s">
        <v>15</v>
      </c>
      <c r="G30">
        <v>1</v>
      </c>
      <c r="H30">
        <v>30</v>
      </c>
      <c r="I30">
        <v>30</v>
      </c>
    </row>
    <row r="31" spans="1:9" x14ac:dyDescent="0.25">
      <c r="A31">
        <v>30</v>
      </c>
      <c r="B31" s="1">
        <v>45670</v>
      </c>
      <c r="C31" t="s">
        <v>42</v>
      </c>
      <c r="D31" t="s">
        <v>12</v>
      </c>
      <c r="E31">
        <v>39</v>
      </c>
      <c r="F31" t="s">
        <v>10</v>
      </c>
      <c r="G31">
        <v>3</v>
      </c>
      <c r="H31">
        <v>300</v>
      </c>
      <c r="I31">
        <v>900</v>
      </c>
    </row>
    <row r="32" spans="1:9" x14ac:dyDescent="0.25">
      <c r="A32">
        <v>31</v>
      </c>
      <c r="B32" s="1">
        <v>45671</v>
      </c>
      <c r="C32" t="s">
        <v>43</v>
      </c>
      <c r="D32" t="s">
        <v>9</v>
      </c>
      <c r="E32">
        <v>44</v>
      </c>
      <c r="F32" t="s">
        <v>15</v>
      </c>
      <c r="G32">
        <v>4</v>
      </c>
      <c r="H32">
        <v>300</v>
      </c>
      <c r="I32">
        <v>1200</v>
      </c>
    </row>
    <row r="33" spans="1:9" x14ac:dyDescent="0.25">
      <c r="A33">
        <v>32</v>
      </c>
      <c r="B33" s="1">
        <v>45671</v>
      </c>
      <c r="C33" t="s">
        <v>44</v>
      </c>
      <c r="D33" t="s">
        <v>9</v>
      </c>
      <c r="E33">
        <v>30</v>
      </c>
      <c r="F33" t="s">
        <v>10</v>
      </c>
      <c r="G33">
        <v>3</v>
      </c>
      <c r="H33">
        <v>30</v>
      </c>
      <c r="I33">
        <v>90</v>
      </c>
    </row>
    <row r="34" spans="1:9" x14ac:dyDescent="0.25">
      <c r="A34">
        <v>33</v>
      </c>
      <c r="B34" s="1">
        <v>45671</v>
      </c>
      <c r="C34" t="s">
        <v>45</v>
      </c>
      <c r="D34" t="s">
        <v>12</v>
      </c>
      <c r="E34">
        <v>50</v>
      </c>
      <c r="F34" t="s">
        <v>15</v>
      </c>
      <c r="G34">
        <v>2</v>
      </c>
      <c r="H34">
        <v>50</v>
      </c>
      <c r="I34">
        <v>100</v>
      </c>
    </row>
    <row r="35" spans="1:9" x14ac:dyDescent="0.25">
      <c r="A35">
        <v>34</v>
      </c>
      <c r="B35" s="1">
        <v>45671</v>
      </c>
      <c r="C35" t="s">
        <v>46</v>
      </c>
      <c r="D35" t="s">
        <v>12</v>
      </c>
      <c r="E35">
        <v>51</v>
      </c>
      <c r="F35" t="s">
        <v>13</v>
      </c>
      <c r="G35">
        <v>3</v>
      </c>
      <c r="H35">
        <v>50</v>
      </c>
      <c r="I35">
        <v>150</v>
      </c>
    </row>
    <row r="36" spans="1:9" x14ac:dyDescent="0.25">
      <c r="A36">
        <v>35</v>
      </c>
      <c r="B36" s="1">
        <v>45672</v>
      </c>
      <c r="C36" t="s">
        <v>47</v>
      </c>
      <c r="D36" t="s">
        <v>12</v>
      </c>
      <c r="E36">
        <v>58</v>
      </c>
      <c r="F36" t="s">
        <v>10</v>
      </c>
      <c r="G36">
        <v>3</v>
      </c>
      <c r="H36">
        <v>300</v>
      </c>
      <c r="I36">
        <v>900</v>
      </c>
    </row>
    <row r="37" spans="1:9" x14ac:dyDescent="0.25">
      <c r="A37">
        <v>36</v>
      </c>
      <c r="B37" s="1">
        <v>45672</v>
      </c>
      <c r="C37" t="s">
        <v>48</v>
      </c>
      <c r="D37" t="s">
        <v>9</v>
      </c>
      <c r="E37">
        <v>52</v>
      </c>
      <c r="F37" t="s">
        <v>10</v>
      </c>
      <c r="G37">
        <v>3</v>
      </c>
      <c r="H37">
        <v>300</v>
      </c>
      <c r="I37">
        <v>900</v>
      </c>
    </row>
    <row r="38" spans="1:9" x14ac:dyDescent="0.25">
      <c r="A38">
        <v>37</v>
      </c>
      <c r="B38" s="1">
        <v>45672</v>
      </c>
      <c r="C38" t="s">
        <v>49</v>
      </c>
      <c r="D38" t="s">
        <v>12</v>
      </c>
      <c r="E38">
        <v>18</v>
      </c>
      <c r="F38" t="s">
        <v>10</v>
      </c>
      <c r="G38">
        <v>3</v>
      </c>
      <c r="H38">
        <v>25</v>
      </c>
      <c r="I38">
        <v>75</v>
      </c>
    </row>
    <row r="39" spans="1:9" x14ac:dyDescent="0.25">
      <c r="A39">
        <v>38</v>
      </c>
      <c r="B39" s="1">
        <v>45673</v>
      </c>
      <c r="C39" t="s">
        <v>50</v>
      </c>
      <c r="D39" t="s">
        <v>9</v>
      </c>
      <c r="E39">
        <v>38</v>
      </c>
      <c r="F39" t="s">
        <v>10</v>
      </c>
      <c r="G39">
        <v>4</v>
      </c>
      <c r="H39">
        <v>50</v>
      </c>
      <c r="I39">
        <v>200</v>
      </c>
    </row>
    <row r="40" spans="1:9" x14ac:dyDescent="0.25">
      <c r="A40">
        <v>39</v>
      </c>
      <c r="B40" s="1">
        <v>45673</v>
      </c>
      <c r="C40" t="s">
        <v>51</v>
      </c>
      <c r="D40" t="s">
        <v>9</v>
      </c>
      <c r="E40">
        <v>23</v>
      </c>
      <c r="F40" t="s">
        <v>13</v>
      </c>
      <c r="G40">
        <v>4</v>
      </c>
      <c r="H40">
        <v>30</v>
      </c>
      <c r="I40">
        <v>120</v>
      </c>
    </row>
    <row r="41" spans="1:9" x14ac:dyDescent="0.25">
      <c r="A41">
        <v>40</v>
      </c>
      <c r="B41" s="1">
        <v>45674</v>
      </c>
      <c r="C41" t="s">
        <v>52</v>
      </c>
      <c r="D41" t="s">
        <v>9</v>
      </c>
      <c r="E41">
        <v>45</v>
      </c>
      <c r="F41" t="s">
        <v>10</v>
      </c>
      <c r="G41">
        <v>1</v>
      </c>
      <c r="H41">
        <v>50</v>
      </c>
      <c r="I41">
        <v>50</v>
      </c>
    </row>
    <row r="42" spans="1:9" x14ac:dyDescent="0.25">
      <c r="A42">
        <v>41</v>
      </c>
      <c r="B42" s="1">
        <v>45674</v>
      </c>
      <c r="C42" t="s">
        <v>53</v>
      </c>
      <c r="D42" t="s">
        <v>9</v>
      </c>
      <c r="E42">
        <v>34</v>
      </c>
      <c r="F42" t="s">
        <v>13</v>
      </c>
      <c r="G42">
        <v>2</v>
      </c>
      <c r="H42">
        <v>25</v>
      </c>
      <c r="I42">
        <v>50</v>
      </c>
    </row>
    <row r="43" spans="1:9" x14ac:dyDescent="0.25">
      <c r="A43">
        <v>42</v>
      </c>
      <c r="B43" s="1">
        <v>45674</v>
      </c>
      <c r="C43" t="s">
        <v>54</v>
      </c>
      <c r="D43" t="s">
        <v>9</v>
      </c>
      <c r="E43">
        <v>22</v>
      </c>
      <c r="F43" t="s">
        <v>13</v>
      </c>
      <c r="G43">
        <v>3</v>
      </c>
      <c r="H43">
        <v>300</v>
      </c>
      <c r="I43">
        <v>900</v>
      </c>
    </row>
    <row r="44" spans="1:9" x14ac:dyDescent="0.25">
      <c r="A44">
        <v>43</v>
      </c>
      <c r="B44" s="1">
        <v>45674</v>
      </c>
      <c r="C44" t="s">
        <v>55</v>
      </c>
      <c r="D44" t="s">
        <v>12</v>
      </c>
      <c r="E44">
        <v>48</v>
      </c>
      <c r="F44" t="s">
        <v>13</v>
      </c>
      <c r="G44">
        <v>1</v>
      </c>
      <c r="H44">
        <v>300</v>
      </c>
      <c r="I44">
        <v>300</v>
      </c>
    </row>
    <row r="45" spans="1:9" x14ac:dyDescent="0.25">
      <c r="A45">
        <v>44</v>
      </c>
      <c r="B45" s="1">
        <v>45676</v>
      </c>
      <c r="C45" t="s">
        <v>56</v>
      </c>
      <c r="D45" t="s">
        <v>12</v>
      </c>
      <c r="E45">
        <v>22</v>
      </c>
      <c r="F45" t="s">
        <v>13</v>
      </c>
      <c r="G45">
        <v>1</v>
      </c>
      <c r="H45">
        <v>25</v>
      </c>
      <c r="I45">
        <v>25</v>
      </c>
    </row>
    <row r="46" spans="1:9" x14ac:dyDescent="0.25">
      <c r="A46">
        <v>45</v>
      </c>
      <c r="B46" s="1">
        <v>45677</v>
      </c>
      <c r="C46" t="s">
        <v>57</v>
      </c>
      <c r="D46" t="s">
        <v>12</v>
      </c>
      <c r="E46">
        <v>55</v>
      </c>
      <c r="F46" t="s">
        <v>15</v>
      </c>
      <c r="G46">
        <v>1</v>
      </c>
      <c r="H46">
        <v>30</v>
      </c>
      <c r="I46">
        <v>30</v>
      </c>
    </row>
    <row r="47" spans="1:9" x14ac:dyDescent="0.25">
      <c r="A47">
        <v>46</v>
      </c>
      <c r="B47" s="1">
        <v>45677</v>
      </c>
      <c r="C47" t="s">
        <v>58</v>
      </c>
      <c r="D47" t="s">
        <v>12</v>
      </c>
      <c r="E47">
        <v>20</v>
      </c>
      <c r="F47" t="s">
        <v>15</v>
      </c>
      <c r="G47">
        <v>4</v>
      </c>
      <c r="H47">
        <v>300</v>
      </c>
      <c r="I47">
        <v>1200</v>
      </c>
    </row>
    <row r="48" spans="1:9" x14ac:dyDescent="0.25">
      <c r="A48">
        <v>47</v>
      </c>
      <c r="B48" s="1">
        <v>45678</v>
      </c>
      <c r="C48" t="s">
        <v>59</v>
      </c>
      <c r="D48" t="s">
        <v>12</v>
      </c>
      <c r="E48">
        <v>40</v>
      </c>
      <c r="F48" t="s">
        <v>10</v>
      </c>
      <c r="G48">
        <v>3</v>
      </c>
      <c r="H48">
        <v>500</v>
      </c>
      <c r="I48">
        <v>1500</v>
      </c>
    </row>
    <row r="49" spans="1:9" x14ac:dyDescent="0.25">
      <c r="A49">
        <v>48</v>
      </c>
      <c r="B49" s="1">
        <v>45678</v>
      </c>
      <c r="C49" t="s">
        <v>60</v>
      </c>
      <c r="D49" t="s">
        <v>9</v>
      </c>
      <c r="E49">
        <v>54</v>
      </c>
      <c r="F49" t="s">
        <v>15</v>
      </c>
      <c r="G49">
        <v>3</v>
      </c>
      <c r="H49">
        <v>300</v>
      </c>
      <c r="I49">
        <v>900</v>
      </c>
    </row>
    <row r="50" spans="1:9" x14ac:dyDescent="0.25">
      <c r="A50">
        <v>49</v>
      </c>
      <c r="B50" s="1">
        <v>45678</v>
      </c>
      <c r="C50" t="s">
        <v>61</v>
      </c>
      <c r="D50" t="s">
        <v>12</v>
      </c>
      <c r="E50">
        <v>54</v>
      </c>
      <c r="F50" t="s">
        <v>15</v>
      </c>
      <c r="G50">
        <v>2</v>
      </c>
      <c r="H50">
        <v>500</v>
      </c>
      <c r="I50">
        <v>1000</v>
      </c>
    </row>
    <row r="51" spans="1:9" x14ac:dyDescent="0.25">
      <c r="A51">
        <v>50</v>
      </c>
      <c r="B51" s="1">
        <v>45679</v>
      </c>
      <c r="C51" t="s">
        <v>62</v>
      </c>
      <c r="D51" t="s">
        <v>12</v>
      </c>
      <c r="E51">
        <v>27</v>
      </c>
      <c r="F51" t="s">
        <v>10</v>
      </c>
      <c r="G51">
        <v>3</v>
      </c>
      <c r="H51">
        <v>25</v>
      </c>
      <c r="I51">
        <v>75</v>
      </c>
    </row>
    <row r="52" spans="1:9" x14ac:dyDescent="0.25">
      <c r="A52">
        <v>51</v>
      </c>
      <c r="B52" s="1">
        <v>45679</v>
      </c>
      <c r="C52" t="s">
        <v>63</v>
      </c>
      <c r="D52" t="s">
        <v>9</v>
      </c>
      <c r="E52">
        <v>27</v>
      </c>
      <c r="F52" t="s">
        <v>10</v>
      </c>
      <c r="G52">
        <v>3</v>
      </c>
      <c r="H52">
        <v>25</v>
      </c>
      <c r="I52">
        <v>75</v>
      </c>
    </row>
    <row r="53" spans="1:9" x14ac:dyDescent="0.25">
      <c r="A53">
        <v>52</v>
      </c>
      <c r="B53" s="1">
        <v>45680</v>
      </c>
      <c r="C53" t="s">
        <v>64</v>
      </c>
      <c r="D53" t="s">
        <v>12</v>
      </c>
      <c r="E53">
        <v>36</v>
      </c>
      <c r="F53" t="s">
        <v>10</v>
      </c>
      <c r="G53">
        <v>1</v>
      </c>
      <c r="H53">
        <v>300</v>
      </c>
      <c r="I53">
        <v>300</v>
      </c>
    </row>
    <row r="54" spans="1:9" x14ac:dyDescent="0.25">
      <c r="A54">
        <v>53</v>
      </c>
      <c r="B54" s="1">
        <v>45680</v>
      </c>
      <c r="C54" t="s">
        <v>65</v>
      </c>
      <c r="D54" t="s">
        <v>9</v>
      </c>
      <c r="E54">
        <v>34</v>
      </c>
      <c r="F54" t="s">
        <v>15</v>
      </c>
      <c r="G54">
        <v>2</v>
      </c>
      <c r="H54">
        <v>50</v>
      </c>
      <c r="I54">
        <v>100</v>
      </c>
    </row>
    <row r="55" spans="1:9" x14ac:dyDescent="0.25">
      <c r="A55">
        <v>54</v>
      </c>
      <c r="B55" s="1">
        <v>45680</v>
      </c>
      <c r="C55" t="s">
        <v>66</v>
      </c>
      <c r="D55" t="s">
        <v>12</v>
      </c>
      <c r="E55">
        <v>38</v>
      </c>
      <c r="F55" t="s">
        <v>15</v>
      </c>
      <c r="G55">
        <v>3</v>
      </c>
      <c r="H55">
        <v>500</v>
      </c>
      <c r="I55">
        <v>1500</v>
      </c>
    </row>
    <row r="56" spans="1:9" x14ac:dyDescent="0.25">
      <c r="A56">
        <v>55</v>
      </c>
      <c r="B56" s="1">
        <v>45681</v>
      </c>
      <c r="C56" t="s">
        <v>67</v>
      </c>
      <c r="D56" t="s">
        <v>9</v>
      </c>
      <c r="E56">
        <v>31</v>
      </c>
      <c r="F56" t="s">
        <v>10</v>
      </c>
      <c r="G56">
        <v>4</v>
      </c>
      <c r="H56">
        <v>30</v>
      </c>
      <c r="I56">
        <v>120</v>
      </c>
    </row>
    <row r="57" spans="1:9" x14ac:dyDescent="0.25">
      <c r="A57">
        <v>56</v>
      </c>
      <c r="B57" s="1">
        <v>45681</v>
      </c>
      <c r="C57" t="s">
        <v>68</v>
      </c>
      <c r="D57" t="s">
        <v>12</v>
      </c>
      <c r="E57">
        <v>26</v>
      </c>
      <c r="F57" t="s">
        <v>13</v>
      </c>
      <c r="G57">
        <v>3</v>
      </c>
      <c r="H57">
        <v>300</v>
      </c>
      <c r="I57">
        <v>900</v>
      </c>
    </row>
    <row r="58" spans="1:9" x14ac:dyDescent="0.25">
      <c r="A58">
        <v>57</v>
      </c>
      <c r="B58" s="1">
        <v>45681</v>
      </c>
      <c r="C58" t="s">
        <v>69</v>
      </c>
      <c r="D58" t="s">
        <v>12</v>
      </c>
      <c r="E58">
        <v>63</v>
      </c>
      <c r="F58" t="s">
        <v>10</v>
      </c>
      <c r="G58">
        <v>1</v>
      </c>
      <c r="H58">
        <v>30</v>
      </c>
      <c r="I58">
        <v>30</v>
      </c>
    </row>
    <row r="59" spans="1:9" x14ac:dyDescent="0.25">
      <c r="A59">
        <v>58</v>
      </c>
      <c r="B59" s="1">
        <v>45682</v>
      </c>
      <c r="C59" t="s">
        <v>70</v>
      </c>
      <c r="D59" t="s">
        <v>9</v>
      </c>
      <c r="E59">
        <v>18</v>
      </c>
      <c r="F59" t="s">
        <v>13</v>
      </c>
      <c r="G59">
        <v>4</v>
      </c>
      <c r="H59">
        <v>300</v>
      </c>
      <c r="I59">
        <v>1200</v>
      </c>
    </row>
    <row r="60" spans="1:9" x14ac:dyDescent="0.25">
      <c r="A60">
        <v>59</v>
      </c>
      <c r="B60" s="1">
        <v>45683</v>
      </c>
      <c r="C60" t="s">
        <v>71</v>
      </c>
      <c r="D60" t="s">
        <v>9</v>
      </c>
      <c r="E60">
        <v>62</v>
      </c>
      <c r="F60" t="s">
        <v>13</v>
      </c>
      <c r="G60">
        <v>1</v>
      </c>
      <c r="H60">
        <v>50</v>
      </c>
      <c r="I60">
        <v>50</v>
      </c>
    </row>
    <row r="61" spans="1:9" x14ac:dyDescent="0.25">
      <c r="A61">
        <v>60</v>
      </c>
      <c r="B61" s="1">
        <v>45683</v>
      </c>
      <c r="C61" t="s">
        <v>72</v>
      </c>
      <c r="D61" t="s">
        <v>9</v>
      </c>
      <c r="E61">
        <v>30</v>
      </c>
      <c r="F61" t="s">
        <v>10</v>
      </c>
      <c r="G61">
        <v>3</v>
      </c>
      <c r="H61">
        <v>50</v>
      </c>
      <c r="I61">
        <v>150</v>
      </c>
    </row>
    <row r="62" spans="1:9" x14ac:dyDescent="0.25">
      <c r="A62">
        <v>61</v>
      </c>
      <c r="B62" s="1">
        <v>45683</v>
      </c>
      <c r="C62" t="s">
        <v>73</v>
      </c>
      <c r="D62" t="s">
        <v>9</v>
      </c>
      <c r="E62">
        <v>21</v>
      </c>
      <c r="F62" t="s">
        <v>10</v>
      </c>
      <c r="G62">
        <v>4</v>
      </c>
      <c r="H62">
        <v>50</v>
      </c>
      <c r="I62">
        <v>200</v>
      </c>
    </row>
    <row r="63" spans="1:9" x14ac:dyDescent="0.25">
      <c r="A63">
        <v>62</v>
      </c>
      <c r="B63" s="1">
        <v>45683</v>
      </c>
      <c r="C63" t="s">
        <v>74</v>
      </c>
      <c r="D63" t="s">
        <v>9</v>
      </c>
      <c r="E63">
        <v>18</v>
      </c>
      <c r="F63" t="s">
        <v>10</v>
      </c>
      <c r="G63">
        <v>2</v>
      </c>
      <c r="H63">
        <v>50</v>
      </c>
      <c r="I63">
        <v>100</v>
      </c>
    </row>
    <row r="64" spans="1:9" x14ac:dyDescent="0.25">
      <c r="A64">
        <v>63</v>
      </c>
      <c r="B64" s="1">
        <v>45684</v>
      </c>
      <c r="C64" t="s">
        <v>75</v>
      </c>
      <c r="D64" t="s">
        <v>9</v>
      </c>
      <c r="E64">
        <v>57</v>
      </c>
      <c r="F64" t="s">
        <v>15</v>
      </c>
      <c r="G64">
        <v>2</v>
      </c>
      <c r="H64">
        <v>25</v>
      </c>
      <c r="I64">
        <v>50</v>
      </c>
    </row>
    <row r="65" spans="1:9" x14ac:dyDescent="0.25">
      <c r="A65">
        <v>64</v>
      </c>
      <c r="B65" s="1">
        <v>45684</v>
      </c>
      <c r="C65" t="s">
        <v>76</v>
      </c>
      <c r="D65" t="s">
        <v>9</v>
      </c>
      <c r="E65">
        <v>49</v>
      </c>
      <c r="F65" t="s">
        <v>13</v>
      </c>
      <c r="G65">
        <v>4</v>
      </c>
      <c r="H65">
        <v>25</v>
      </c>
      <c r="I65">
        <v>100</v>
      </c>
    </row>
    <row r="66" spans="1:9" x14ac:dyDescent="0.25">
      <c r="A66">
        <v>65</v>
      </c>
      <c r="B66" s="1">
        <v>45684</v>
      </c>
      <c r="C66" t="s">
        <v>77</v>
      </c>
      <c r="D66" t="s">
        <v>9</v>
      </c>
      <c r="E66">
        <v>51</v>
      </c>
      <c r="F66" t="s">
        <v>15</v>
      </c>
      <c r="G66">
        <v>4</v>
      </c>
      <c r="H66">
        <v>500</v>
      </c>
      <c r="I66">
        <v>2000</v>
      </c>
    </row>
    <row r="67" spans="1:9" x14ac:dyDescent="0.25">
      <c r="A67">
        <v>66</v>
      </c>
      <c r="B67" s="1">
        <v>45685</v>
      </c>
      <c r="C67" t="s">
        <v>78</v>
      </c>
      <c r="D67" t="s">
        <v>12</v>
      </c>
      <c r="E67">
        <v>45</v>
      </c>
      <c r="F67" t="s">
        <v>15</v>
      </c>
      <c r="G67">
        <v>1</v>
      </c>
      <c r="H67">
        <v>30</v>
      </c>
      <c r="I67">
        <v>30</v>
      </c>
    </row>
    <row r="68" spans="1:9" x14ac:dyDescent="0.25">
      <c r="A68">
        <v>67</v>
      </c>
      <c r="B68" s="1">
        <v>45685</v>
      </c>
      <c r="C68" t="s">
        <v>79</v>
      </c>
      <c r="D68" t="s">
        <v>12</v>
      </c>
      <c r="E68">
        <v>48</v>
      </c>
      <c r="F68" t="s">
        <v>10</v>
      </c>
      <c r="G68">
        <v>4</v>
      </c>
      <c r="H68">
        <v>300</v>
      </c>
      <c r="I68">
        <v>1200</v>
      </c>
    </row>
    <row r="69" spans="1:9" x14ac:dyDescent="0.25">
      <c r="A69">
        <v>68</v>
      </c>
      <c r="B69" s="1">
        <v>45685</v>
      </c>
      <c r="C69" t="s">
        <v>80</v>
      </c>
      <c r="D69" t="s">
        <v>9</v>
      </c>
      <c r="E69">
        <v>25</v>
      </c>
      <c r="F69" t="s">
        <v>15</v>
      </c>
      <c r="G69">
        <v>1</v>
      </c>
      <c r="H69">
        <v>300</v>
      </c>
      <c r="I69">
        <v>300</v>
      </c>
    </row>
    <row r="70" spans="1:9" x14ac:dyDescent="0.25">
      <c r="A70">
        <v>69</v>
      </c>
      <c r="B70" s="1">
        <v>45686</v>
      </c>
      <c r="C70" t="s">
        <v>81</v>
      </c>
      <c r="D70" t="s">
        <v>12</v>
      </c>
      <c r="E70">
        <v>56</v>
      </c>
      <c r="F70" t="s">
        <v>10</v>
      </c>
      <c r="G70">
        <v>3</v>
      </c>
      <c r="H70">
        <v>25</v>
      </c>
      <c r="I70">
        <v>75</v>
      </c>
    </row>
    <row r="71" spans="1:9" x14ac:dyDescent="0.25">
      <c r="A71">
        <v>70</v>
      </c>
      <c r="B71" s="1">
        <v>45687</v>
      </c>
      <c r="C71" t="s">
        <v>82</v>
      </c>
      <c r="D71" t="s">
        <v>12</v>
      </c>
      <c r="E71">
        <v>43</v>
      </c>
      <c r="F71" t="s">
        <v>13</v>
      </c>
      <c r="G71">
        <v>1</v>
      </c>
      <c r="H71">
        <v>300</v>
      </c>
      <c r="I71">
        <v>300</v>
      </c>
    </row>
    <row r="72" spans="1:9" x14ac:dyDescent="0.25">
      <c r="A72">
        <v>71</v>
      </c>
      <c r="B72" s="1">
        <v>45687</v>
      </c>
      <c r="C72" t="s">
        <v>83</v>
      </c>
      <c r="D72" t="s">
        <v>12</v>
      </c>
      <c r="E72">
        <v>51</v>
      </c>
      <c r="F72" t="s">
        <v>10</v>
      </c>
      <c r="G72">
        <v>4</v>
      </c>
      <c r="H72">
        <v>25</v>
      </c>
      <c r="I72">
        <v>100</v>
      </c>
    </row>
    <row r="73" spans="1:9" x14ac:dyDescent="0.25">
      <c r="A73">
        <v>72</v>
      </c>
      <c r="B73" s="1">
        <v>45687</v>
      </c>
      <c r="C73" t="s">
        <v>84</v>
      </c>
      <c r="D73" t="s">
        <v>12</v>
      </c>
      <c r="E73">
        <v>20</v>
      </c>
      <c r="F73" t="s">
        <v>15</v>
      </c>
      <c r="G73">
        <v>4</v>
      </c>
      <c r="H73">
        <v>500</v>
      </c>
      <c r="I73">
        <v>2000</v>
      </c>
    </row>
    <row r="74" spans="1:9" x14ac:dyDescent="0.25">
      <c r="A74">
        <v>73</v>
      </c>
      <c r="B74" s="1">
        <v>45687</v>
      </c>
      <c r="C74" t="s">
        <v>85</v>
      </c>
      <c r="D74" t="s">
        <v>9</v>
      </c>
      <c r="E74">
        <v>29</v>
      </c>
      <c r="F74" t="s">
        <v>15</v>
      </c>
      <c r="G74">
        <v>3</v>
      </c>
      <c r="H74">
        <v>30</v>
      </c>
      <c r="I74">
        <v>90</v>
      </c>
    </row>
    <row r="75" spans="1:9" x14ac:dyDescent="0.25">
      <c r="A75">
        <v>74</v>
      </c>
      <c r="B75" s="1">
        <v>45688</v>
      </c>
      <c r="C75" t="s">
        <v>86</v>
      </c>
      <c r="D75" t="s">
        <v>12</v>
      </c>
      <c r="E75">
        <v>18</v>
      </c>
      <c r="F75" t="s">
        <v>10</v>
      </c>
      <c r="G75">
        <v>4</v>
      </c>
      <c r="H75">
        <v>500</v>
      </c>
      <c r="I75">
        <v>2000</v>
      </c>
    </row>
    <row r="76" spans="1:9" x14ac:dyDescent="0.25">
      <c r="A76">
        <v>75</v>
      </c>
      <c r="B76" s="1">
        <v>45688</v>
      </c>
      <c r="C76" t="s">
        <v>87</v>
      </c>
      <c r="D76" t="s">
        <v>9</v>
      </c>
      <c r="E76">
        <v>61</v>
      </c>
      <c r="F76" t="s">
        <v>10</v>
      </c>
      <c r="G76">
        <v>4</v>
      </c>
      <c r="H76">
        <v>50</v>
      </c>
      <c r="I76">
        <v>200</v>
      </c>
    </row>
    <row r="77" spans="1:9" x14ac:dyDescent="0.25">
      <c r="A77">
        <v>76</v>
      </c>
      <c r="B77" s="1">
        <v>45688</v>
      </c>
      <c r="C77" t="s">
        <v>88</v>
      </c>
      <c r="D77" t="s">
        <v>12</v>
      </c>
      <c r="E77">
        <v>22</v>
      </c>
      <c r="F77" t="s">
        <v>15</v>
      </c>
      <c r="G77">
        <v>2</v>
      </c>
      <c r="H77">
        <v>50</v>
      </c>
      <c r="I77">
        <v>100</v>
      </c>
    </row>
    <row r="78" spans="1:9" x14ac:dyDescent="0.25">
      <c r="A78">
        <v>77</v>
      </c>
      <c r="B78" s="1">
        <v>45689</v>
      </c>
      <c r="C78" t="s">
        <v>89</v>
      </c>
      <c r="D78" t="s">
        <v>12</v>
      </c>
      <c r="E78">
        <v>47</v>
      </c>
      <c r="F78" t="s">
        <v>13</v>
      </c>
      <c r="G78">
        <v>2</v>
      </c>
      <c r="H78">
        <v>50</v>
      </c>
      <c r="I78">
        <v>100</v>
      </c>
    </row>
    <row r="79" spans="1:9" x14ac:dyDescent="0.25">
      <c r="A79">
        <v>78</v>
      </c>
      <c r="B79" s="1">
        <v>45689</v>
      </c>
      <c r="C79" t="s">
        <v>90</v>
      </c>
      <c r="D79" t="s">
        <v>12</v>
      </c>
      <c r="E79">
        <v>47</v>
      </c>
      <c r="F79" t="s">
        <v>13</v>
      </c>
      <c r="G79">
        <v>3</v>
      </c>
      <c r="H79">
        <v>500</v>
      </c>
      <c r="I79">
        <v>1500</v>
      </c>
    </row>
    <row r="80" spans="1:9" x14ac:dyDescent="0.25">
      <c r="A80">
        <v>79</v>
      </c>
      <c r="B80" s="1">
        <v>45689</v>
      </c>
      <c r="C80" t="s">
        <v>91</v>
      </c>
      <c r="D80" t="s">
        <v>9</v>
      </c>
      <c r="E80">
        <v>34</v>
      </c>
      <c r="F80" t="s">
        <v>10</v>
      </c>
      <c r="G80">
        <v>1</v>
      </c>
      <c r="H80">
        <v>300</v>
      </c>
      <c r="I80">
        <v>300</v>
      </c>
    </row>
    <row r="81" spans="1:9" x14ac:dyDescent="0.25">
      <c r="A81">
        <v>80</v>
      </c>
      <c r="B81" s="1">
        <v>45690</v>
      </c>
      <c r="C81" t="s">
        <v>92</v>
      </c>
      <c r="D81" t="s">
        <v>12</v>
      </c>
      <c r="E81">
        <v>64</v>
      </c>
      <c r="F81" t="s">
        <v>13</v>
      </c>
      <c r="G81">
        <v>2</v>
      </c>
      <c r="H81">
        <v>30</v>
      </c>
      <c r="I81">
        <v>60</v>
      </c>
    </row>
    <row r="82" spans="1:9" x14ac:dyDescent="0.25">
      <c r="A82">
        <v>81</v>
      </c>
      <c r="B82" s="1">
        <v>45690</v>
      </c>
      <c r="C82" t="s">
        <v>93</v>
      </c>
      <c r="D82" t="s">
        <v>9</v>
      </c>
      <c r="E82">
        <v>40</v>
      </c>
      <c r="F82" t="s">
        <v>15</v>
      </c>
      <c r="G82">
        <v>1</v>
      </c>
      <c r="H82">
        <v>50</v>
      </c>
      <c r="I82">
        <v>50</v>
      </c>
    </row>
    <row r="83" spans="1:9" x14ac:dyDescent="0.25">
      <c r="A83">
        <v>82</v>
      </c>
      <c r="B83" s="1">
        <v>45690</v>
      </c>
      <c r="C83" t="s">
        <v>94</v>
      </c>
      <c r="D83" t="s">
        <v>12</v>
      </c>
      <c r="E83">
        <v>32</v>
      </c>
      <c r="F83" t="s">
        <v>10</v>
      </c>
      <c r="G83">
        <v>4</v>
      </c>
      <c r="H83">
        <v>50</v>
      </c>
      <c r="I83">
        <v>200</v>
      </c>
    </row>
    <row r="84" spans="1:9" x14ac:dyDescent="0.25">
      <c r="A84">
        <v>83</v>
      </c>
      <c r="B84" s="1">
        <v>45691</v>
      </c>
      <c r="C84" t="s">
        <v>95</v>
      </c>
      <c r="D84" t="s">
        <v>9</v>
      </c>
      <c r="E84">
        <v>54</v>
      </c>
      <c r="F84" t="s">
        <v>15</v>
      </c>
      <c r="G84">
        <v>2</v>
      </c>
      <c r="H84">
        <v>50</v>
      </c>
      <c r="I84">
        <v>100</v>
      </c>
    </row>
    <row r="85" spans="1:9" x14ac:dyDescent="0.25">
      <c r="A85">
        <v>84</v>
      </c>
      <c r="B85" s="1">
        <v>45691</v>
      </c>
      <c r="C85" t="s">
        <v>96</v>
      </c>
      <c r="D85" t="s">
        <v>12</v>
      </c>
      <c r="E85">
        <v>38</v>
      </c>
      <c r="F85" t="s">
        <v>15</v>
      </c>
      <c r="G85">
        <v>3</v>
      </c>
      <c r="H85">
        <v>30</v>
      </c>
      <c r="I85">
        <v>90</v>
      </c>
    </row>
    <row r="86" spans="1:9" x14ac:dyDescent="0.25">
      <c r="A86">
        <v>85</v>
      </c>
      <c r="B86" s="1">
        <v>45692</v>
      </c>
      <c r="C86" t="s">
        <v>97</v>
      </c>
      <c r="D86" t="s">
        <v>9</v>
      </c>
      <c r="E86">
        <v>31</v>
      </c>
      <c r="F86" t="s">
        <v>13</v>
      </c>
      <c r="G86">
        <v>3</v>
      </c>
      <c r="H86">
        <v>50</v>
      </c>
      <c r="I86">
        <v>150</v>
      </c>
    </row>
    <row r="87" spans="1:9" x14ac:dyDescent="0.25">
      <c r="A87">
        <v>86</v>
      </c>
      <c r="B87" s="1">
        <v>45692</v>
      </c>
      <c r="C87" t="s">
        <v>98</v>
      </c>
      <c r="D87" t="s">
        <v>9</v>
      </c>
      <c r="E87">
        <v>19</v>
      </c>
      <c r="F87" t="s">
        <v>10</v>
      </c>
      <c r="G87">
        <v>3</v>
      </c>
      <c r="H87">
        <v>30</v>
      </c>
      <c r="I87">
        <v>90</v>
      </c>
    </row>
    <row r="88" spans="1:9" x14ac:dyDescent="0.25">
      <c r="A88">
        <v>87</v>
      </c>
      <c r="B88" s="1">
        <v>45693</v>
      </c>
      <c r="C88" t="s">
        <v>99</v>
      </c>
      <c r="D88" t="s">
        <v>12</v>
      </c>
      <c r="E88">
        <v>28</v>
      </c>
      <c r="F88" t="s">
        <v>10</v>
      </c>
      <c r="G88">
        <v>2</v>
      </c>
      <c r="H88">
        <v>50</v>
      </c>
      <c r="I88">
        <v>100</v>
      </c>
    </row>
    <row r="89" spans="1:9" x14ac:dyDescent="0.25">
      <c r="A89">
        <v>88</v>
      </c>
      <c r="B89" s="1">
        <v>45693</v>
      </c>
      <c r="C89" t="s">
        <v>100</v>
      </c>
      <c r="D89" t="s">
        <v>9</v>
      </c>
      <c r="E89">
        <v>56</v>
      </c>
      <c r="F89" t="s">
        <v>13</v>
      </c>
      <c r="G89">
        <v>1</v>
      </c>
      <c r="H89">
        <v>500</v>
      </c>
      <c r="I89">
        <v>500</v>
      </c>
    </row>
    <row r="90" spans="1:9" x14ac:dyDescent="0.25">
      <c r="A90">
        <v>89</v>
      </c>
      <c r="B90" s="1">
        <v>45693</v>
      </c>
      <c r="C90" t="s">
        <v>101</v>
      </c>
      <c r="D90" t="s">
        <v>12</v>
      </c>
      <c r="E90">
        <v>55</v>
      </c>
      <c r="F90" t="s">
        <v>15</v>
      </c>
      <c r="G90">
        <v>4</v>
      </c>
      <c r="H90">
        <v>500</v>
      </c>
      <c r="I90">
        <v>2000</v>
      </c>
    </row>
    <row r="91" spans="1:9" x14ac:dyDescent="0.25">
      <c r="A91">
        <v>90</v>
      </c>
      <c r="B91" s="1">
        <v>45693</v>
      </c>
      <c r="C91" t="s">
        <v>102</v>
      </c>
      <c r="D91" t="s">
        <v>12</v>
      </c>
      <c r="E91">
        <v>51</v>
      </c>
      <c r="F91" t="s">
        <v>15</v>
      </c>
      <c r="G91">
        <v>1</v>
      </c>
      <c r="H91">
        <v>30</v>
      </c>
      <c r="I91">
        <v>30</v>
      </c>
    </row>
    <row r="92" spans="1:9" x14ac:dyDescent="0.25">
      <c r="A92">
        <v>91</v>
      </c>
      <c r="B92" s="1">
        <v>45693</v>
      </c>
      <c r="C92" t="s">
        <v>103</v>
      </c>
      <c r="D92" t="s">
        <v>12</v>
      </c>
      <c r="E92">
        <v>55</v>
      </c>
      <c r="F92" t="s">
        <v>15</v>
      </c>
      <c r="G92">
        <v>1</v>
      </c>
      <c r="H92">
        <v>500</v>
      </c>
      <c r="I92">
        <v>500</v>
      </c>
    </row>
    <row r="93" spans="1:9" x14ac:dyDescent="0.25">
      <c r="A93">
        <v>92</v>
      </c>
      <c r="B93" s="1">
        <v>45693</v>
      </c>
      <c r="C93" t="s">
        <v>104</v>
      </c>
      <c r="D93" t="s">
        <v>12</v>
      </c>
      <c r="E93">
        <v>51</v>
      </c>
      <c r="F93" t="s">
        <v>15</v>
      </c>
      <c r="G93">
        <v>4</v>
      </c>
      <c r="H93">
        <v>30</v>
      </c>
      <c r="I93">
        <v>120</v>
      </c>
    </row>
    <row r="94" spans="1:9" x14ac:dyDescent="0.25">
      <c r="A94">
        <v>93</v>
      </c>
      <c r="B94" s="1">
        <v>45693</v>
      </c>
      <c r="C94" t="s">
        <v>105</v>
      </c>
      <c r="D94" t="s">
        <v>12</v>
      </c>
      <c r="E94">
        <v>35</v>
      </c>
      <c r="F94" t="s">
        <v>10</v>
      </c>
      <c r="G94">
        <v>4</v>
      </c>
      <c r="H94">
        <v>500</v>
      </c>
      <c r="I94">
        <v>2000</v>
      </c>
    </row>
    <row r="95" spans="1:9" x14ac:dyDescent="0.25">
      <c r="A95">
        <v>94</v>
      </c>
      <c r="B95" s="1">
        <v>45693</v>
      </c>
      <c r="C95" t="s">
        <v>106</v>
      </c>
      <c r="D95" t="s">
        <v>12</v>
      </c>
      <c r="E95">
        <v>47</v>
      </c>
      <c r="F95" t="s">
        <v>10</v>
      </c>
      <c r="G95">
        <v>2</v>
      </c>
      <c r="H95">
        <v>500</v>
      </c>
      <c r="I95">
        <v>1000</v>
      </c>
    </row>
    <row r="96" spans="1:9" x14ac:dyDescent="0.25">
      <c r="A96">
        <v>95</v>
      </c>
      <c r="B96" s="1">
        <v>45694</v>
      </c>
      <c r="C96" t="s">
        <v>107</v>
      </c>
      <c r="D96" t="s">
        <v>12</v>
      </c>
      <c r="E96">
        <v>32</v>
      </c>
      <c r="F96" t="s">
        <v>13</v>
      </c>
      <c r="G96">
        <v>2</v>
      </c>
      <c r="H96">
        <v>30</v>
      </c>
      <c r="I96">
        <v>60</v>
      </c>
    </row>
    <row r="97" spans="1:9" x14ac:dyDescent="0.25">
      <c r="A97">
        <v>96</v>
      </c>
      <c r="B97" s="1">
        <v>45694</v>
      </c>
      <c r="C97" t="s">
        <v>108</v>
      </c>
      <c r="D97" t="s">
        <v>12</v>
      </c>
      <c r="E97">
        <v>44</v>
      </c>
      <c r="F97" t="s">
        <v>13</v>
      </c>
      <c r="G97">
        <v>2</v>
      </c>
      <c r="H97">
        <v>300</v>
      </c>
      <c r="I97">
        <v>600</v>
      </c>
    </row>
    <row r="98" spans="1:9" x14ac:dyDescent="0.25">
      <c r="A98">
        <v>97</v>
      </c>
      <c r="B98" s="1">
        <v>45694</v>
      </c>
      <c r="C98" t="s">
        <v>109</v>
      </c>
      <c r="D98" t="s">
        <v>12</v>
      </c>
      <c r="E98">
        <v>51</v>
      </c>
      <c r="F98" t="s">
        <v>10</v>
      </c>
      <c r="G98">
        <v>2</v>
      </c>
      <c r="H98">
        <v>500</v>
      </c>
      <c r="I98">
        <v>1000</v>
      </c>
    </row>
    <row r="99" spans="1:9" x14ac:dyDescent="0.25">
      <c r="A99">
        <v>98</v>
      </c>
      <c r="B99" s="1">
        <v>45694</v>
      </c>
      <c r="C99" t="s">
        <v>110</v>
      </c>
      <c r="D99" t="s">
        <v>12</v>
      </c>
      <c r="E99">
        <v>55</v>
      </c>
      <c r="F99" t="s">
        <v>10</v>
      </c>
      <c r="G99">
        <v>2</v>
      </c>
      <c r="H99">
        <v>50</v>
      </c>
      <c r="I99">
        <v>100</v>
      </c>
    </row>
    <row r="100" spans="1:9" x14ac:dyDescent="0.25">
      <c r="A100">
        <v>99</v>
      </c>
      <c r="B100" s="1">
        <v>45695</v>
      </c>
      <c r="C100" t="s">
        <v>111</v>
      </c>
      <c r="D100" t="s">
        <v>12</v>
      </c>
      <c r="E100">
        <v>50</v>
      </c>
      <c r="F100" t="s">
        <v>15</v>
      </c>
      <c r="G100">
        <v>4</v>
      </c>
      <c r="H100">
        <v>300</v>
      </c>
      <c r="I100">
        <v>1200</v>
      </c>
    </row>
    <row r="101" spans="1:9" x14ac:dyDescent="0.25">
      <c r="A101">
        <v>100</v>
      </c>
      <c r="B101" s="1">
        <v>45695</v>
      </c>
      <c r="C101" t="s">
        <v>112</v>
      </c>
      <c r="D101" t="s">
        <v>9</v>
      </c>
      <c r="E101">
        <v>41</v>
      </c>
      <c r="F101" t="s">
        <v>15</v>
      </c>
      <c r="G101">
        <v>1</v>
      </c>
      <c r="H101">
        <v>30</v>
      </c>
      <c r="I101">
        <v>30</v>
      </c>
    </row>
    <row r="102" spans="1:9" x14ac:dyDescent="0.25">
      <c r="A102">
        <v>101</v>
      </c>
      <c r="B102" s="1">
        <v>45695</v>
      </c>
      <c r="C102" t="s">
        <v>113</v>
      </c>
      <c r="D102" t="s">
        <v>9</v>
      </c>
      <c r="E102">
        <v>32</v>
      </c>
      <c r="F102" t="s">
        <v>13</v>
      </c>
      <c r="G102">
        <v>2</v>
      </c>
      <c r="H102">
        <v>300</v>
      </c>
      <c r="I102">
        <v>600</v>
      </c>
    </row>
    <row r="103" spans="1:9" x14ac:dyDescent="0.25">
      <c r="A103">
        <v>102</v>
      </c>
      <c r="B103" s="1">
        <v>45695</v>
      </c>
      <c r="C103" t="s">
        <v>114</v>
      </c>
      <c r="D103" t="s">
        <v>12</v>
      </c>
      <c r="E103">
        <v>47</v>
      </c>
      <c r="F103" t="s">
        <v>10</v>
      </c>
      <c r="G103">
        <v>2</v>
      </c>
      <c r="H103">
        <v>25</v>
      </c>
      <c r="I103">
        <v>50</v>
      </c>
    </row>
    <row r="104" spans="1:9" x14ac:dyDescent="0.25">
      <c r="A104">
        <v>103</v>
      </c>
      <c r="B104" s="1">
        <v>45696</v>
      </c>
      <c r="C104" t="s">
        <v>115</v>
      </c>
      <c r="D104" t="s">
        <v>12</v>
      </c>
      <c r="E104">
        <v>59</v>
      </c>
      <c r="F104" t="s">
        <v>13</v>
      </c>
      <c r="G104">
        <v>1</v>
      </c>
      <c r="H104">
        <v>25</v>
      </c>
      <c r="I104">
        <v>25</v>
      </c>
    </row>
    <row r="105" spans="1:9" x14ac:dyDescent="0.25">
      <c r="A105">
        <v>104</v>
      </c>
      <c r="B105" s="1">
        <v>45696</v>
      </c>
      <c r="C105" t="s">
        <v>116</v>
      </c>
      <c r="D105" t="s">
        <v>12</v>
      </c>
      <c r="E105">
        <v>34</v>
      </c>
      <c r="F105" t="s">
        <v>10</v>
      </c>
      <c r="G105">
        <v>2</v>
      </c>
      <c r="H105">
        <v>500</v>
      </c>
      <c r="I105">
        <v>1000</v>
      </c>
    </row>
    <row r="106" spans="1:9" x14ac:dyDescent="0.25">
      <c r="A106">
        <v>105</v>
      </c>
      <c r="B106" s="1">
        <v>45696</v>
      </c>
      <c r="C106" t="s">
        <v>117</v>
      </c>
      <c r="D106" t="s">
        <v>12</v>
      </c>
      <c r="E106">
        <v>22</v>
      </c>
      <c r="F106" t="s">
        <v>15</v>
      </c>
      <c r="G106">
        <v>1</v>
      </c>
      <c r="H106">
        <v>500</v>
      </c>
      <c r="I106">
        <v>500</v>
      </c>
    </row>
    <row r="107" spans="1:9" x14ac:dyDescent="0.25">
      <c r="A107">
        <v>106</v>
      </c>
      <c r="B107" s="1">
        <v>45696</v>
      </c>
      <c r="C107" t="s">
        <v>118</v>
      </c>
      <c r="D107" t="s">
        <v>12</v>
      </c>
      <c r="E107">
        <v>46</v>
      </c>
      <c r="F107" t="s">
        <v>13</v>
      </c>
      <c r="G107">
        <v>1</v>
      </c>
      <c r="H107">
        <v>50</v>
      </c>
      <c r="I107">
        <v>50</v>
      </c>
    </row>
    <row r="108" spans="1:9" x14ac:dyDescent="0.25">
      <c r="A108">
        <v>107</v>
      </c>
      <c r="B108" s="1">
        <v>45697</v>
      </c>
      <c r="C108" t="s">
        <v>119</v>
      </c>
      <c r="D108" t="s">
        <v>12</v>
      </c>
      <c r="E108">
        <v>21</v>
      </c>
      <c r="F108" t="s">
        <v>13</v>
      </c>
      <c r="G108">
        <v>4</v>
      </c>
      <c r="H108">
        <v>300</v>
      </c>
      <c r="I108">
        <v>1200</v>
      </c>
    </row>
    <row r="109" spans="1:9" x14ac:dyDescent="0.25">
      <c r="A109">
        <v>108</v>
      </c>
      <c r="B109" s="1">
        <v>45698</v>
      </c>
      <c r="C109" t="s">
        <v>120</v>
      </c>
      <c r="D109" t="s">
        <v>12</v>
      </c>
      <c r="E109">
        <v>27</v>
      </c>
      <c r="F109" t="s">
        <v>10</v>
      </c>
      <c r="G109">
        <v>3</v>
      </c>
      <c r="H109">
        <v>25</v>
      </c>
      <c r="I109">
        <v>75</v>
      </c>
    </row>
    <row r="110" spans="1:9" x14ac:dyDescent="0.25">
      <c r="A110">
        <v>109</v>
      </c>
      <c r="B110" s="1">
        <v>45698</v>
      </c>
      <c r="C110" t="s">
        <v>121</v>
      </c>
      <c r="D110" t="s">
        <v>12</v>
      </c>
      <c r="E110">
        <v>34</v>
      </c>
      <c r="F110" t="s">
        <v>15</v>
      </c>
      <c r="G110">
        <v>4</v>
      </c>
      <c r="H110">
        <v>500</v>
      </c>
      <c r="I110">
        <v>2000</v>
      </c>
    </row>
    <row r="111" spans="1:9" x14ac:dyDescent="0.25">
      <c r="A111">
        <v>110</v>
      </c>
      <c r="B111" s="1">
        <v>45698</v>
      </c>
      <c r="C111" t="s">
        <v>122</v>
      </c>
      <c r="D111" t="s">
        <v>9</v>
      </c>
      <c r="E111">
        <v>27</v>
      </c>
      <c r="F111" t="s">
        <v>13</v>
      </c>
      <c r="G111">
        <v>3</v>
      </c>
      <c r="H111">
        <v>300</v>
      </c>
      <c r="I111">
        <v>900</v>
      </c>
    </row>
    <row r="112" spans="1:9" x14ac:dyDescent="0.25">
      <c r="A112">
        <v>111</v>
      </c>
      <c r="B112" s="1">
        <v>45699</v>
      </c>
      <c r="C112" t="s">
        <v>123</v>
      </c>
      <c r="D112" t="s">
        <v>12</v>
      </c>
      <c r="E112">
        <v>34</v>
      </c>
      <c r="F112" t="s">
        <v>15</v>
      </c>
      <c r="G112">
        <v>3</v>
      </c>
      <c r="H112">
        <v>500</v>
      </c>
      <c r="I112">
        <v>1500</v>
      </c>
    </row>
    <row r="113" spans="1:9" x14ac:dyDescent="0.25">
      <c r="A113">
        <v>112</v>
      </c>
      <c r="B113" s="1">
        <v>45699</v>
      </c>
      <c r="C113" t="s">
        <v>124</v>
      </c>
      <c r="D113" t="s">
        <v>9</v>
      </c>
      <c r="E113">
        <v>37</v>
      </c>
      <c r="F113" t="s">
        <v>13</v>
      </c>
      <c r="G113">
        <v>3</v>
      </c>
      <c r="H113">
        <v>500</v>
      </c>
      <c r="I113">
        <v>1500</v>
      </c>
    </row>
    <row r="114" spans="1:9" x14ac:dyDescent="0.25">
      <c r="A114">
        <v>113</v>
      </c>
      <c r="B114" s="1">
        <v>45699</v>
      </c>
      <c r="C114" t="s">
        <v>125</v>
      </c>
      <c r="D114" t="s">
        <v>12</v>
      </c>
      <c r="E114">
        <v>41</v>
      </c>
      <c r="F114" t="s">
        <v>15</v>
      </c>
      <c r="G114">
        <v>2</v>
      </c>
      <c r="H114">
        <v>25</v>
      </c>
      <c r="I114">
        <v>50</v>
      </c>
    </row>
    <row r="115" spans="1:9" x14ac:dyDescent="0.25">
      <c r="A115">
        <v>114</v>
      </c>
      <c r="B115" s="1">
        <v>45699</v>
      </c>
      <c r="C115" t="s">
        <v>126</v>
      </c>
      <c r="D115" t="s">
        <v>12</v>
      </c>
      <c r="E115">
        <v>22</v>
      </c>
      <c r="F115" t="s">
        <v>10</v>
      </c>
      <c r="G115">
        <v>4</v>
      </c>
      <c r="H115">
        <v>25</v>
      </c>
      <c r="I115">
        <v>100</v>
      </c>
    </row>
    <row r="116" spans="1:9" x14ac:dyDescent="0.25">
      <c r="A116">
        <v>115</v>
      </c>
      <c r="B116" s="1">
        <v>45699</v>
      </c>
      <c r="C116" t="s">
        <v>127</v>
      </c>
      <c r="D116" t="s">
        <v>9</v>
      </c>
      <c r="E116">
        <v>51</v>
      </c>
      <c r="F116" t="s">
        <v>13</v>
      </c>
      <c r="G116">
        <v>3</v>
      </c>
      <c r="H116">
        <v>500</v>
      </c>
      <c r="I116">
        <v>1500</v>
      </c>
    </row>
    <row r="117" spans="1:9" x14ac:dyDescent="0.25">
      <c r="A117">
        <v>116</v>
      </c>
      <c r="B117" s="1">
        <v>45700</v>
      </c>
      <c r="C117" t="s">
        <v>128</v>
      </c>
      <c r="D117" t="s">
        <v>12</v>
      </c>
      <c r="E117">
        <v>23</v>
      </c>
      <c r="F117" t="s">
        <v>13</v>
      </c>
      <c r="G117">
        <v>1</v>
      </c>
      <c r="H117">
        <v>30</v>
      </c>
      <c r="I117">
        <v>30</v>
      </c>
    </row>
    <row r="118" spans="1:9" x14ac:dyDescent="0.25">
      <c r="A118">
        <v>117</v>
      </c>
      <c r="B118" s="1">
        <v>45701</v>
      </c>
      <c r="C118" t="s">
        <v>129</v>
      </c>
      <c r="D118" t="s">
        <v>9</v>
      </c>
      <c r="E118">
        <v>19</v>
      </c>
      <c r="F118" t="s">
        <v>15</v>
      </c>
      <c r="G118">
        <v>2</v>
      </c>
      <c r="H118">
        <v>500</v>
      </c>
      <c r="I118">
        <v>1000</v>
      </c>
    </row>
    <row r="119" spans="1:9" x14ac:dyDescent="0.25">
      <c r="A119">
        <v>118</v>
      </c>
      <c r="B119" s="1">
        <v>45701</v>
      </c>
      <c r="C119" t="s">
        <v>130</v>
      </c>
      <c r="D119" t="s">
        <v>12</v>
      </c>
      <c r="E119">
        <v>30</v>
      </c>
      <c r="F119" t="s">
        <v>15</v>
      </c>
      <c r="G119">
        <v>1</v>
      </c>
      <c r="H119">
        <v>500</v>
      </c>
      <c r="I119">
        <v>500</v>
      </c>
    </row>
    <row r="120" spans="1:9" x14ac:dyDescent="0.25">
      <c r="A120">
        <v>119</v>
      </c>
      <c r="B120" s="1">
        <v>45701</v>
      </c>
      <c r="C120" t="s">
        <v>131</v>
      </c>
      <c r="D120" t="s">
        <v>12</v>
      </c>
      <c r="E120">
        <v>60</v>
      </c>
      <c r="F120" t="s">
        <v>13</v>
      </c>
      <c r="G120">
        <v>3</v>
      </c>
      <c r="H120">
        <v>50</v>
      </c>
      <c r="I120">
        <v>150</v>
      </c>
    </row>
    <row r="121" spans="1:9" x14ac:dyDescent="0.25">
      <c r="A121">
        <v>120</v>
      </c>
      <c r="B121" s="1">
        <v>45701</v>
      </c>
      <c r="C121" t="s">
        <v>132</v>
      </c>
      <c r="D121" t="s">
        <v>9</v>
      </c>
      <c r="E121">
        <v>60</v>
      </c>
      <c r="F121" t="s">
        <v>10</v>
      </c>
      <c r="G121">
        <v>1</v>
      </c>
      <c r="H121">
        <v>50</v>
      </c>
      <c r="I121">
        <v>50</v>
      </c>
    </row>
    <row r="122" spans="1:9" x14ac:dyDescent="0.25">
      <c r="A122">
        <v>121</v>
      </c>
      <c r="B122" s="1">
        <v>45702</v>
      </c>
      <c r="C122" t="s">
        <v>133</v>
      </c>
      <c r="D122" t="s">
        <v>12</v>
      </c>
      <c r="E122">
        <v>28</v>
      </c>
      <c r="F122" t="s">
        <v>15</v>
      </c>
      <c r="G122">
        <v>4</v>
      </c>
      <c r="H122">
        <v>50</v>
      </c>
      <c r="I122">
        <v>200</v>
      </c>
    </row>
    <row r="123" spans="1:9" x14ac:dyDescent="0.25">
      <c r="A123">
        <v>122</v>
      </c>
      <c r="B123" s="1">
        <v>45702</v>
      </c>
      <c r="C123" t="s">
        <v>134</v>
      </c>
      <c r="D123" t="s">
        <v>9</v>
      </c>
      <c r="E123">
        <v>64</v>
      </c>
      <c r="F123" t="s">
        <v>15</v>
      </c>
      <c r="G123">
        <v>4</v>
      </c>
      <c r="H123">
        <v>30</v>
      </c>
      <c r="I123">
        <v>120</v>
      </c>
    </row>
    <row r="124" spans="1:9" x14ac:dyDescent="0.25">
      <c r="A124">
        <v>123</v>
      </c>
      <c r="B124" s="1">
        <v>45704</v>
      </c>
      <c r="C124" t="s">
        <v>135</v>
      </c>
      <c r="D124" t="s">
        <v>12</v>
      </c>
      <c r="E124">
        <v>40</v>
      </c>
      <c r="F124" t="s">
        <v>15</v>
      </c>
      <c r="G124">
        <v>2</v>
      </c>
      <c r="H124">
        <v>30</v>
      </c>
      <c r="I124">
        <v>60</v>
      </c>
    </row>
    <row r="125" spans="1:9" x14ac:dyDescent="0.25">
      <c r="A125">
        <v>124</v>
      </c>
      <c r="B125" s="1">
        <v>45705</v>
      </c>
      <c r="C125" t="s">
        <v>136</v>
      </c>
      <c r="D125" t="s">
        <v>9</v>
      </c>
      <c r="E125">
        <v>33</v>
      </c>
      <c r="F125" t="s">
        <v>13</v>
      </c>
      <c r="G125">
        <v>4</v>
      </c>
      <c r="H125">
        <v>500</v>
      </c>
      <c r="I125">
        <v>2000</v>
      </c>
    </row>
    <row r="126" spans="1:9" x14ac:dyDescent="0.25">
      <c r="A126">
        <v>125</v>
      </c>
      <c r="B126" s="1">
        <v>45705</v>
      </c>
      <c r="C126" t="s">
        <v>137</v>
      </c>
      <c r="D126" t="s">
        <v>9</v>
      </c>
      <c r="E126">
        <v>48</v>
      </c>
      <c r="F126" t="s">
        <v>13</v>
      </c>
      <c r="G126">
        <v>2</v>
      </c>
      <c r="H126">
        <v>50</v>
      </c>
      <c r="I126">
        <v>100</v>
      </c>
    </row>
    <row r="127" spans="1:9" x14ac:dyDescent="0.25">
      <c r="A127">
        <v>126</v>
      </c>
      <c r="B127" s="1">
        <v>45705</v>
      </c>
      <c r="C127" t="s">
        <v>138</v>
      </c>
      <c r="D127" t="s">
        <v>12</v>
      </c>
      <c r="E127">
        <v>28</v>
      </c>
      <c r="F127" t="s">
        <v>13</v>
      </c>
      <c r="G127">
        <v>3</v>
      </c>
      <c r="H127">
        <v>30</v>
      </c>
      <c r="I127">
        <v>90</v>
      </c>
    </row>
    <row r="128" spans="1:9" x14ac:dyDescent="0.25">
      <c r="A128">
        <v>127</v>
      </c>
      <c r="B128" s="1">
        <v>45705</v>
      </c>
      <c r="C128" t="s">
        <v>139</v>
      </c>
      <c r="D128" t="s">
        <v>12</v>
      </c>
      <c r="E128">
        <v>33</v>
      </c>
      <c r="F128" t="s">
        <v>13</v>
      </c>
      <c r="G128">
        <v>2</v>
      </c>
      <c r="H128">
        <v>25</v>
      </c>
      <c r="I128">
        <v>50</v>
      </c>
    </row>
    <row r="129" spans="1:9" x14ac:dyDescent="0.25">
      <c r="A129">
        <v>128</v>
      </c>
      <c r="B129" s="1">
        <v>45705</v>
      </c>
      <c r="C129" t="s">
        <v>140</v>
      </c>
      <c r="D129" t="s">
        <v>9</v>
      </c>
      <c r="E129">
        <v>25</v>
      </c>
      <c r="F129" t="s">
        <v>10</v>
      </c>
      <c r="G129">
        <v>1</v>
      </c>
      <c r="H129">
        <v>500</v>
      </c>
      <c r="I129">
        <v>500</v>
      </c>
    </row>
    <row r="130" spans="1:9" x14ac:dyDescent="0.25">
      <c r="A130">
        <v>129</v>
      </c>
      <c r="B130" s="1">
        <v>45705</v>
      </c>
      <c r="C130" t="s">
        <v>141</v>
      </c>
      <c r="D130" t="s">
        <v>12</v>
      </c>
      <c r="E130">
        <v>21</v>
      </c>
      <c r="F130" t="s">
        <v>10</v>
      </c>
      <c r="G130">
        <v>2</v>
      </c>
      <c r="H130">
        <v>300</v>
      </c>
      <c r="I130">
        <v>600</v>
      </c>
    </row>
    <row r="131" spans="1:9" x14ac:dyDescent="0.25">
      <c r="A131">
        <v>130</v>
      </c>
      <c r="B131" s="1">
        <v>45706</v>
      </c>
      <c r="C131" t="s">
        <v>142</v>
      </c>
      <c r="D131" t="s">
        <v>12</v>
      </c>
      <c r="E131">
        <v>57</v>
      </c>
      <c r="F131" t="s">
        <v>13</v>
      </c>
      <c r="G131">
        <v>2</v>
      </c>
      <c r="H131">
        <v>500</v>
      </c>
      <c r="I131">
        <v>1000</v>
      </c>
    </row>
    <row r="132" spans="1:9" x14ac:dyDescent="0.25">
      <c r="A132">
        <v>131</v>
      </c>
      <c r="B132" s="1">
        <v>45707</v>
      </c>
      <c r="C132" t="s">
        <v>143</v>
      </c>
      <c r="D132" t="s">
        <v>12</v>
      </c>
      <c r="E132">
        <v>21</v>
      </c>
      <c r="F132" t="s">
        <v>10</v>
      </c>
      <c r="G132">
        <v>2</v>
      </c>
      <c r="H132">
        <v>300</v>
      </c>
      <c r="I132">
        <v>600</v>
      </c>
    </row>
    <row r="133" spans="1:9" x14ac:dyDescent="0.25">
      <c r="A133">
        <v>132</v>
      </c>
      <c r="B133" s="1">
        <v>45707</v>
      </c>
      <c r="C133" t="s">
        <v>144</v>
      </c>
      <c r="D133" t="s">
        <v>9</v>
      </c>
      <c r="E133">
        <v>42</v>
      </c>
      <c r="F133" t="s">
        <v>15</v>
      </c>
      <c r="G133">
        <v>4</v>
      </c>
      <c r="H133">
        <v>50</v>
      </c>
      <c r="I133">
        <v>200</v>
      </c>
    </row>
    <row r="134" spans="1:9" x14ac:dyDescent="0.25">
      <c r="A134">
        <v>133</v>
      </c>
      <c r="B134" s="1">
        <v>45708</v>
      </c>
      <c r="C134" t="s">
        <v>145</v>
      </c>
      <c r="D134" t="s">
        <v>9</v>
      </c>
      <c r="E134">
        <v>20</v>
      </c>
      <c r="F134" t="s">
        <v>15</v>
      </c>
      <c r="G134">
        <v>3</v>
      </c>
      <c r="H134">
        <v>300</v>
      </c>
      <c r="I134">
        <v>900</v>
      </c>
    </row>
    <row r="135" spans="1:9" x14ac:dyDescent="0.25">
      <c r="A135">
        <v>134</v>
      </c>
      <c r="B135" s="1">
        <v>45708</v>
      </c>
      <c r="C135" t="s">
        <v>146</v>
      </c>
      <c r="D135" t="s">
        <v>9</v>
      </c>
      <c r="E135">
        <v>49</v>
      </c>
      <c r="F135" t="s">
        <v>15</v>
      </c>
      <c r="G135">
        <v>1</v>
      </c>
      <c r="H135">
        <v>50</v>
      </c>
      <c r="I135">
        <v>50</v>
      </c>
    </row>
    <row r="136" spans="1:9" x14ac:dyDescent="0.25">
      <c r="A136">
        <v>135</v>
      </c>
      <c r="B136" s="1">
        <v>45708</v>
      </c>
      <c r="C136" t="s">
        <v>147</v>
      </c>
      <c r="D136" t="s">
        <v>9</v>
      </c>
      <c r="E136">
        <v>20</v>
      </c>
      <c r="F136" t="s">
        <v>13</v>
      </c>
      <c r="G136">
        <v>2</v>
      </c>
      <c r="H136">
        <v>25</v>
      </c>
      <c r="I136">
        <v>50</v>
      </c>
    </row>
    <row r="137" spans="1:9" x14ac:dyDescent="0.25">
      <c r="A137">
        <v>136</v>
      </c>
      <c r="B137" s="1">
        <v>45709</v>
      </c>
      <c r="C137" t="s">
        <v>148</v>
      </c>
      <c r="D137" t="s">
        <v>9</v>
      </c>
      <c r="E137">
        <v>44</v>
      </c>
      <c r="F137" t="s">
        <v>15</v>
      </c>
      <c r="G137">
        <v>2</v>
      </c>
      <c r="H137">
        <v>300</v>
      </c>
      <c r="I137">
        <v>600</v>
      </c>
    </row>
    <row r="138" spans="1:9" x14ac:dyDescent="0.25">
      <c r="A138">
        <v>137</v>
      </c>
      <c r="B138" s="1">
        <v>45709</v>
      </c>
      <c r="C138" t="s">
        <v>149</v>
      </c>
      <c r="D138" t="s">
        <v>9</v>
      </c>
      <c r="E138">
        <v>46</v>
      </c>
      <c r="F138" t="s">
        <v>10</v>
      </c>
      <c r="G138">
        <v>2</v>
      </c>
      <c r="H138">
        <v>500</v>
      </c>
      <c r="I138">
        <v>1000</v>
      </c>
    </row>
    <row r="139" spans="1:9" x14ac:dyDescent="0.25">
      <c r="A139">
        <v>138</v>
      </c>
      <c r="B139" s="1">
        <v>45709</v>
      </c>
      <c r="C139" t="s">
        <v>150</v>
      </c>
      <c r="D139" t="s">
        <v>9</v>
      </c>
      <c r="E139">
        <v>49</v>
      </c>
      <c r="F139" t="s">
        <v>13</v>
      </c>
      <c r="G139">
        <v>4</v>
      </c>
      <c r="H139">
        <v>50</v>
      </c>
      <c r="I139">
        <v>200</v>
      </c>
    </row>
    <row r="140" spans="1:9" x14ac:dyDescent="0.25">
      <c r="A140">
        <v>139</v>
      </c>
      <c r="B140" s="1">
        <v>45710</v>
      </c>
      <c r="C140" t="s">
        <v>151</v>
      </c>
      <c r="D140" t="s">
        <v>9</v>
      </c>
      <c r="E140">
        <v>36</v>
      </c>
      <c r="F140" t="s">
        <v>10</v>
      </c>
      <c r="G140">
        <v>4</v>
      </c>
      <c r="H140">
        <v>500</v>
      </c>
      <c r="I140">
        <v>2000</v>
      </c>
    </row>
    <row r="141" spans="1:9" x14ac:dyDescent="0.25">
      <c r="A141">
        <v>140</v>
      </c>
      <c r="B141" s="1">
        <v>45710</v>
      </c>
      <c r="C141" t="s">
        <v>152</v>
      </c>
      <c r="D141" t="s">
        <v>9</v>
      </c>
      <c r="E141">
        <v>38</v>
      </c>
      <c r="F141" t="s">
        <v>15</v>
      </c>
      <c r="G141">
        <v>1</v>
      </c>
      <c r="H141">
        <v>30</v>
      </c>
      <c r="I141">
        <v>30</v>
      </c>
    </row>
    <row r="142" spans="1:9" x14ac:dyDescent="0.25">
      <c r="A142">
        <v>141</v>
      </c>
      <c r="B142" s="1">
        <v>45710</v>
      </c>
      <c r="C142" t="s">
        <v>153</v>
      </c>
      <c r="D142" t="s">
        <v>12</v>
      </c>
      <c r="E142">
        <v>22</v>
      </c>
      <c r="F142" t="s">
        <v>15</v>
      </c>
      <c r="G142">
        <v>1</v>
      </c>
      <c r="H142">
        <v>50</v>
      </c>
      <c r="I142">
        <v>50</v>
      </c>
    </row>
    <row r="143" spans="1:9" x14ac:dyDescent="0.25">
      <c r="A143">
        <v>142</v>
      </c>
      <c r="B143" s="1">
        <v>45710</v>
      </c>
      <c r="C143" t="s">
        <v>154</v>
      </c>
      <c r="D143" t="s">
        <v>9</v>
      </c>
      <c r="E143">
        <v>35</v>
      </c>
      <c r="F143" t="s">
        <v>15</v>
      </c>
      <c r="G143">
        <v>4</v>
      </c>
      <c r="H143">
        <v>300</v>
      </c>
      <c r="I143">
        <v>1200</v>
      </c>
    </row>
    <row r="144" spans="1:9" x14ac:dyDescent="0.25">
      <c r="A144">
        <v>143</v>
      </c>
      <c r="B144" s="1">
        <v>45710</v>
      </c>
      <c r="C144" t="s">
        <v>155</v>
      </c>
      <c r="D144" t="s">
        <v>12</v>
      </c>
      <c r="E144">
        <v>45</v>
      </c>
      <c r="F144" t="s">
        <v>13</v>
      </c>
      <c r="G144">
        <v>4</v>
      </c>
      <c r="H144">
        <v>50</v>
      </c>
      <c r="I144">
        <v>200</v>
      </c>
    </row>
    <row r="145" spans="1:9" x14ac:dyDescent="0.25">
      <c r="A145">
        <v>144</v>
      </c>
      <c r="B145" s="1">
        <v>45711</v>
      </c>
      <c r="C145" t="s">
        <v>156</v>
      </c>
      <c r="D145" t="s">
        <v>12</v>
      </c>
      <c r="E145">
        <v>59</v>
      </c>
      <c r="F145" t="s">
        <v>10</v>
      </c>
      <c r="G145">
        <v>3</v>
      </c>
      <c r="H145">
        <v>500</v>
      </c>
      <c r="I145">
        <v>1500</v>
      </c>
    </row>
    <row r="146" spans="1:9" x14ac:dyDescent="0.25">
      <c r="A146">
        <v>145</v>
      </c>
      <c r="B146" s="1">
        <v>45712</v>
      </c>
      <c r="C146" t="s">
        <v>157</v>
      </c>
      <c r="D146" t="s">
        <v>12</v>
      </c>
      <c r="E146">
        <v>39</v>
      </c>
      <c r="F146" t="s">
        <v>13</v>
      </c>
      <c r="G146">
        <v>3</v>
      </c>
      <c r="H146">
        <v>25</v>
      </c>
      <c r="I146">
        <v>75</v>
      </c>
    </row>
    <row r="147" spans="1:9" x14ac:dyDescent="0.25">
      <c r="A147">
        <v>146</v>
      </c>
      <c r="B147" s="1">
        <v>45712</v>
      </c>
      <c r="C147" t="s">
        <v>158</v>
      </c>
      <c r="D147" t="s">
        <v>9</v>
      </c>
      <c r="E147">
        <v>38</v>
      </c>
      <c r="F147" t="s">
        <v>13</v>
      </c>
      <c r="G147">
        <v>4</v>
      </c>
      <c r="H147">
        <v>50</v>
      </c>
      <c r="I147">
        <v>200</v>
      </c>
    </row>
    <row r="148" spans="1:9" x14ac:dyDescent="0.25">
      <c r="A148">
        <v>147</v>
      </c>
      <c r="B148" s="1">
        <v>45712</v>
      </c>
      <c r="C148" t="s">
        <v>159</v>
      </c>
      <c r="D148" t="s">
        <v>9</v>
      </c>
      <c r="E148">
        <v>23</v>
      </c>
      <c r="F148" t="s">
        <v>15</v>
      </c>
      <c r="G148">
        <v>1</v>
      </c>
      <c r="H148">
        <v>300</v>
      </c>
      <c r="I148">
        <v>300</v>
      </c>
    </row>
    <row r="149" spans="1:9" x14ac:dyDescent="0.25">
      <c r="A149">
        <v>148</v>
      </c>
      <c r="B149" s="1">
        <v>45712</v>
      </c>
      <c r="C149" t="s">
        <v>160</v>
      </c>
      <c r="D149" t="s">
        <v>9</v>
      </c>
      <c r="E149">
        <v>18</v>
      </c>
      <c r="F149" t="s">
        <v>13</v>
      </c>
      <c r="G149">
        <v>2</v>
      </c>
      <c r="H149">
        <v>30</v>
      </c>
      <c r="I149">
        <v>60</v>
      </c>
    </row>
    <row r="150" spans="1:9" x14ac:dyDescent="0.25">
      <c r="A150">
        <v>149</v>
      </c>
      <c r="B150" s="1">
        <v>45713</v>
      </c>
      <c r="C150" t="s">
        <v>161</v>
      </c>
      <c r="D150" t="s">
        <v>9</v>
      </c>
      <c r="E150">
        <v>22</v>
      </c>
      <c r="F150" t="s">
        <v>13</v>
      </c>
      <c r="G150">
        <v>3</v>
      </c>
      <c r="H150">
        <v>25</v>
      </c>
      <c r="I150">
        <v>75</v>
      </c>
    </row>
    <row r="151" spans="1:9" x14ac:dyDescent="0.25">
      <c r="A151">
        <v>150</v>
      </c>
      <c r="B151" s="1">
        <v>45713</v>
      </c>
      <c r="C151" t="s">
        <v>162</v>
      </c>
      <c r="D151" t="s">
        <v>12</v>
      </c>
      <c r="E151">
        <v>58</v>
      </c>
      <c r="F151" t="s">
        <v>15</v>
      </c>
      <c r="G151">
        <v>4</v>
      </c>
      <c r="H151">
        <v>30</v>
      </c>
      <c r="I151">
        <v>120</v>
      </c>
    </row>
    <row r="152" spans="1:9" x14ac:dyDescent="0.25">
      <c r="A152">
        <v>151</v>
      </c>
      <c r="B152" s="1">
        <v>45713</v>
      </c>
      <c r="C152" t="s">
        <v>163</v>
      </c>
      <c r="D152" t="s">
        <v>9</v>
      </c>
      <c r="E152">
        <v>29</v>
      </c>
      <c r="F152" t="s">
        <v>13</v>
      </c>
      <c r="G152">
        <v>1</v>
      </c>
      <c r="H152">
        <v>50</v>
      </c>
      <c r="I152">
        <v>50</v>
      </c>
    </row>
    <row r="153" spans="1:9" x14ac:dyDescent="0.25">
      <c r="A153">
        <v>152</v>
      </c>
      <c r="B153" s="1">
        <v>45713</v>
      </c>
      <c r="C153" t="s">
        <v>164</v>
      </c>
      <c r="D153" t="s">
        <v>9</v>
      </c>
      <c r="E153">
        <v>43</v>
      </c>
      <c r="F153" t="s">
        <v>15</v>
      </c>
      <c r="G153">
        <v>4</v>
      </c>
      <c r="H153">
        <v>500</v>
      </c>
      <c r="I153">
        <v>2000</v>
      </c>
    </row>
    <row r="154" spans="1:9" x14ac:dyDescent="0.25">
      <c r="A154">
        <v>153</v>
      </c>
      <c r="B154" s="1">
        <v>45714</v>
      </c>
      <c r="C154" t="s">
        <v>165</v>
      </c>
      <c r="D154" t="s">
        <v>9</v>
      </c>
      <c r="E154">
        <v>63</v>
      </c>
      <c r="F154" t="s">
        <v>15</v>
      </c>
      <c r="G154">
        <v>2</v>
      </c>
      <c r="H154">
        <v>500</v>
      </c>
      <c r="I154">
        <v>1000</v>
      </c>
    </row>
    <row r="155" spans="1:9" x14ac:dyDescent="0.25">
      <c r="A155">
        <v>154</v>
      </c>
      <c r="B155" s="1">
        <v>45715</v>
      </c>
      <c r="C155" t="s">
        <v>166</v>
      </c>
      <c r="D155" t="s">
        <v>9</v>
      </c>
      <c r="E155">
        <v>51</v>
      </c>
      <c r="F155" t="s">
        <v>15</v>
      </c>
      <c r="G155">
        <v>3</v>
      </c>
      <c r="H155">
        <v>300</v>
      </c>
      <c r="I155">
        <v>900</v>
      </c>
    </row>
    <row r="156" spans="1:9" x14ac:dyDescent="0.25">
      <c r="A156">
        <v>155</v>
      </c>
      <c r="B156" s="1">
        <v>45715</v>
      </c>
      <c r="C156" t="s">
        <v>167</v>
      </c>
      <c r="D156" t="s">
        <v>9</v>
      </c>
      <c r="E156">
        <v>31</v>
      </c>
      <c r="F156" t="s">
        <v>15</v>
      </c>
      <c r="G156">
        <v>4</v>
      </c>
      <c r="H156">
        <v>500</v>
      </c>
      <c r="I156">
        <v>2000</v>
      </c>
    </row>
    <row r="157" spans="1:9" x14ac:dyDescent="0.25">
      <c r="A157">
        <v>156</v>
      </c>
      <c r="B157" s="1">
        <v>45715</v>
      </c>
      <c r="C157" t="s">
        <v>168</v>
      </c>
      <c r="D157" t="s">
        <v>12</v>
      </c>
      <c r="E157">
        <v>43</v>
      </c>
      <c r="F157" t="s">
        <v>13</v>
      </c>
      <c r="G157">
        <v>4</v>
      </c>
      <c r="H157">
        <v>25</v>
      </c>
      <c r="I157">
        <v>100</v>
      </c>
    </row>
    <row r="158" spans="1:9" x14ac:dyDescent="0.25">
      <c r="A158">
        <v>157</v>
      </c>
      <c r="B158" s="1">
        <v>45715</v>
      </c>
      <c r="C158" t="s">
        <v>169</v>
      </c>
      <c r="D158" t="s">
        <v>9</v>
      </c>
      <c r="E158">
        <v>62</v>
      </c>
      <c r="F158" t="s">
        <v>15</v>
      </c>
      <c r="G158">
        <v>4</v>
      </c>
      <c r="H158">
        <v>500</v>
      </c>
      <c r="I158">
        <v>2000</v>
      </c>
    </row>
    <row r="159" spans="1:9" x14ac:dyDescent="0.25">
      <c r="A159">
        <v>158</v>
      </c>
      <c r="B159" s="1">
        <v>45716</v>
      </c>
      <c r="C159" t="s">
        <v>170</v>
      </c>
      <c r="D159" t="s">
        <v>12</v>
      </c>
      <c r="E159">
        <v>44</v>
      </c>
      <c r="F159" t="s">
        <v>15</v>
      </c>
      <c r="G159">
        <v>3</v>
      </c>
      <c r="H159">
        <v>300</v>
      </c>
      <c r="I159">
        <v>900</v>
      </c>
    </row>
    <row r="160" spans="1:9" x14ac:dyDescent="0.25">
      <c r="A160">
        <v>159</v>
      </c>
      <c r="B160" s="1">
        <v>45716</v>
      </c>
      <c r="C160" t="s">
        <v>171</v>
      </c>
      <c r="D160" t="s">
        <v>9</v>
      </c>
      <c r="E160">
        <v>26</v>
      </c>
      <c r="F160" t="s">
        <v>13</v>
      </c>
      <c r="G160">
        <v>4</v>
      </c>
      <c r="H160">
        <v>50</v>
      </c>
      <c r="I160">
        <v>200</v>
      </c>
    </row>
    <row r="161" spans="1:9" x14ac:dyDescent="0.25">
      <c r="A161">
        <v>160</v>
      </c>
      <c r="B161" s="1">
        <v>45716</v>
      </c>
      <c r="C161" t="s">
        <v>172</v>
      </c>
      <c r="D161" t="s">
        <v>12</v>
      </c>
      <c r="E161">
        <v>43</v>
      </c>
      <c r="F161" t="s">
        <v>13</v>
      </c>
      <c r="G161">
        <v>2</v>
      </c>
      <c r="H161">
        <v>50</v>
      </c>
      <c r="I161">
        <v>100</v>
      </c>
    </row>
    <row r="162" spans="1:9" x14ac:dyDescent="0.25">
      <c r="A162">
        <v>161</v>
      </c>
      <c r="B162" s="1">
        <v>45716</v>
      </c>
      <c r="C162" t="s">
        <v>173</v>
      </c>
      <c r="D162" t="s">
        <v>9</v>
      </c>
      <c r="E162">
        <v>64</v>
      </c>
      <c r="F162" t="s">
        <v>10</v>
      </c>
      <c r="G162">
        <v>2</v>
      </c>
      <c r="H162">
        <v>500</v>
      </c>
      <c r="I162">
        <v>1000</v>
      </c>
    </row>
    <row r="163" spans="1:9" x14ac:dyDescent="0.25">
      <c r="A163">
        <v>162</v>
      </c>
      <c r="B163" s="1">
        <v>45717</v>
      </c>
      <c r="C163" t="s">
        <v>174</v>
      </c>
      <c r="D163" t="s">
        <v>9</v>
      </c>
      <c r="E163">
        <v>39</v>
      </c>
      <c r="F163" t="s">
        <v>13</v>
      </c>
      <c r="G163">
        <v>2</v>
      </c>
      <c r="H163">
        <v>30</v>
      </c>
      <c r="I163">
        <v>60</v>
      </c>
    </row>
    <row r="164" spans="1:9" x14ac:dyDescent="0.25">
      <c r="A164">
        <v>163</v>
      </c>
      <c r="B164" s="1">
        <v>45717</v>
      </c>
      <c r="C164" t="s">
        <v>175</v>
      </c>
      <c r="D164" t="s">
        <v>12</v>
      </c>
      <c r="E164">
        <v>64</v>
      </c>
      <c r="F164" t="s">
        <v>13</v>
      </c>
      <c r="G164">
        <v>3</v>
      </c>
      <c r="H164">
        <v>50</v>
      </c>
      <c r="I164">
        <v>150</v>
      </c>
    </row>
    <row r="165" spans="1:9" x14ac:dyDescent="0.25">
      <c r="A165">
        <v>164</v>
      </c>
      <c r="B165" s="1">
        <v>45717</v>
      </c>
      <c r="C165" t="s">
        <v>176</v>
      </c>
      <c r="D165" t="s">
        <v>12</v>
      </c>
      <c r="E165">
        <v>47</v>
      </c>
      <c r="F165" t="s">
        <v>10</v>
      </c>
      <c r="G165">
        <v>3</v>
      </c>
      <c r="H165">
        <v>500</v>
      </c>
      <c r="I165">
        <v>1500</v>
      </c>
    </row>
    <row r="166" spans="1:9" x14ac:dyDescent="0.25">
      <c r="A166">
        <v>165</v>
      </c>
      <c r="B166" s="1">
        <v>45718</v>
      </c>
      <c r="C166" t="s">
        <v>106</v>
      </c>
      <c r="D166" t="s">
        <v>12</v>
      </c>
      <c r="E166">
        <v>47</v>
      </c>
      <c r="F166" t="s">
        <v>13</v>
      </c>
      <c r="G166">
        <v>4</v>
      </c>
      <c r="H166">
        <v>300</v>
      </c>
      <c r="I166">
        <v>1200</v>
      </c>
    </row>
    <row r="167" spans="1:9" x14ac:dyDescent="0.25">
      <c r="A167">
        <v>166</v>
      </c>
      <c r="B167" s="1">
        <v>45719</v>
      </c>
      <c r="C167" t="s">
        <v>109</v>
      </c>
      <c r="D167" t="s">
        <v>12</v>
      </c>
      <c r="E167">
        <v>51</v>
      </c>
      <c r="F167" t="s">
        <v>13</v>
      </c>
      <c r="G167">
        <v>4</v>
      </c>
      <c r="H167">
        <v>500</v>
      </c>
      <c r="I167">
        <v>2000</v>
      </c>
    </row>
    <row r="168" spans="1:9" x14ac:dyDescent="0.25">
      <c r="A168">
        <v>167</v>
      </c>
      <c r="B168" s="1">
        <v>45719</v>
      </c>
      <c r="C168" t="s">
        <v>110</v>
      </c>
      <c r="D168" t="s">
        <v>12</v>
      </c>
      <c r="E168">
        <v>55</v>
      </c>
      <c r="F168" t="s">
        <v>13</v>
      </c>
      <c r="G168">
        <v>3</v>
      </c>
      <c r="H168">
        <v>50</v>
      </c>
      <c r="I168">
        <v>150</v>
      </c>
    </row>
    <row r="169" spans="1:9" x14ac:dyDescent="0.25">
      <c r="A169">
        <v>168</v>
      </c>
      <c r="B169" s="1">
        <v>45719</v>
      </c>
      <c r="C169" t="s">
        <v>114</v>
      </c>
      <c r="D169" t="s">
        <v>12</v>
      </c>
      <c r="E169">
        <v>47</v>
      </c>
      <c r="F169" t="s">
        <v>13</v>
      </c>
      <c r="G169">
        <v>1</v>
      </c>
      <c r="H169">
        <v>300</v>
      </c>
      <c r="I169">
        <v>300</v>
      </c>
    </row>
    <row r="170" spans="1:9" x14ac:dyDescent="0.25">
      <c r="A170">
        <v>169</v>
      </c>
      <c r="B170" s="1">
        <v>45719</v>
      </c>
      <c r="C170" t="s">
        <v>116</v>
      </c>
      <c r="D170" t="s">
        <v>12</v>
      </c>
      <c r="E170">
        <v>34</v>
      </c>
      <c r="F170" t="s">
        <v>10</v>
      </c>
      <c r="G170">
        <v>3</v>
      </c>
      <c r="H170">
        <v>500</v>
      </c>
      <c r="I170">
        <v>1500</v>
      </c>
    </row>
    <row r="171" spans="1:9" x14ac:dyDescent="0.25">
      <c r="A171">
        <v>170</v>
      </c>
      <c r="B171" s="1">
        <v>45719</v>
      </c>
      <c r="C171" t="s">
        <v>120</v>
      </c>
      <c r="D171" t="s">
        <v>12</v>
      </c>
      <c r="E171">
        <v>27</v>
      </c>
      <c r="F171" t="s">
        <v>13</v>
      </c>
      <c r="G171">
        <v>2</v>
      </c>
      <c r="H171">
        <v>25</v>
      </c>
      <c r="I171">
        <v>50</v>
      </c>
    </row>
    <row r="172" spans="1:9" x14ac:dyDescent="0.25">
      <c r="A172">
        <v>171</v>
      </c>
      <c r="B172" s="1">
        <v>45720</v>
      </c>
      <c r="C172" t="s">
        <v>126</v>
      </c>
      <c r="D172" t="s">
        <v>12</v>
      </c>
      <c r="E172">
        <v>22</v>
      </c>
      <c r="F172" t="s">
        <v>13</v>
      </c>
      <c r="G172">
        <v>3</v>
      </c>
      <c r="H172">
        <v>300</v>
      </c>
      <c r="I172">
        <v>900</v>
      </c>
    </row>
    <row r="173" spans="1:9" x14ac:dyDescent="0.25">
      <c r="A173">
        <v>172</v>
      </c>
      <c r="B173" s="1">
        <v>45721</v>
      </c>
      <c r="C173" t="s">
        <v>132</v>
      </c>
      <c r="D173" t="s">
        <v>9</v>
      </c>
      <c r="E173">
        <v>60</v>
      </c>
      <c r="F173" t="s">
        <v>10</v>
      </c>
      <c r="G173">
        <v>2</v>
      </c>
      <c r="H173">
        <v>25</v>
      </c>
      <c r="I173">
        <v>50</v>
      </c>
    </row>
    <row r="174" spans="1:9" x14ac:dyDescent="0.25">
      <c r="A174">
        <v>173</v>
      </c>
      <c r="B174" s="1">
        <v>45721</v>
      </c>
      <c r="C174" t="s">
        <v>140</v>
      </c>
      <c r="D174" t="s">
        <v>9</v>
      </c>
      <c r="E174">
        <v>25</v>
      </c>
      <c r="F174" t="s">
        <v>15</v>
      </c>
      <c r="G174">
        <v>4</v>
      </c>
      <c r="H174">
        <v>30</v>
      </c>
      <c r="I174">
        <v>120</v>
      </c>
    </row>
    <row r="175" spans="1:9" x14ac:dyDescent="0.25">
      <c r="A175">
        <v>174</v>
      </c>
      <c r="B175" s="1">
        <v>45722</v>
      </c>
      <c r="C175" t="s">
        <v>141</v>
      </c>
      <c r="D175" t="s">
        <v>12</v>
      </c>
      <c r="E175">
        <v>21</v>
      </c>
      <c r="F175" t="s">
        <v>10</v>
      </c>
      <c r="G175">
        <v>1</v>
      </c>
      <c r="H175">
        <v>300</v>
      </c>
      <c r="I175">
        <v>300</v>
      </c>
    </row>
    <row r="176" spans="1:9" x14ac:dyDescent="0.25">
      <c r="A176">
        <v>175</v>
      </c>
      <c r="B176" s="1">
        <v>45722</v>
      </c>
      <c r="C176" t="s">
        <v>143</v>
      </c>
      <c r="D176" t="s">
        <v>12</v>
      </c>
      <c r="E176">
        <v>21</v>
      </c>
      <c r="F176" t="s">
        <v>15</v>
      </c>
      <c r="G176">
        <v>4</v>
      </c>
      <c r="H176">
        <v>25</v>
      </c>
      <c r="I176">
        <v>100</v>
      </c>
    </row>
    <row r="177" spans="1:9" x14ac:dyDescent="0.25">
      <c r="A177">
        <v>176</v>
      </c>
      <c r="B177" s="1">
        <v>45722</v>
      </c>
      <c r="C177" t="s">
        <v>149</v>
      </c>
      <c r="D177" t="s">
        <v>9</v>
      </c>
      <c r="E177">
        <v>46</v>
      </c>
      <c r="F177" t="s">
        <v>10</v>
      </c>
      <c r="G177">
        <v>2</v>
      </c>
      <c r="H177">
        <v>50</v>
      </c>
      <c r="I177">
        <v>100</v>
      </c>
    </row>
    <row r="178" spans="1:9" x14ac:dyDescent="0.25">
      <c r="A178">
        <v>177</v>
      </c>
      <c r="B178" s="1">
        <v>45722</v>
      </c>
      <c r="C178" t="s">
        <v>151</v>
      </c>
      <c r="D178" t="s">
        <v>9</v>
      </c>
      <c r="E178">
        <v>36</v>
      </c>
      <c r="F178" t="s">
        <v>10</v>
      </c>
      <c r="G178">
        <v>2</v>
      </c>
      <c r="H178">
        <v>50</v>
      </c>
      <c r="I178">
        <v>100</v>
      </c>
    </row>
    <row r="179" spans="1:9" x14ac:dyDescent="0.25">
      <c r="A179">
        <v>178</v>
      </c>
      <c r="B179" s="1">
        <v>45723</v>
      </c>
      <c r="C179" t="s">
        <v>156</v>
      </c>
      <c r="D179" t="s">
        <v>12</v>
      </c>
      <c r="E179">
        <v>59</v>
      </c>
      <c r="F179" t="s">
        <v>13</v>
      </c>
      <c r="G179">
        <v>2</v>
      </c>
      <c r="H179">
        <v>30</v>
      </c>
      <c r="I179">
        <v>60</v>
      </c>
    </row>
    <row r="180" spans="1:9" x14ac:dyDescent="0.25">
      <c r="A180">
        <v>179</v>
      </c>
      <c r="B180" s="1">
        <v>45723</v>
      </c>
      <c r="C180" t="s">
        <v>173</v>
      </c>
      <c r="D180" t="s">
        <v>9</v>
      </c>
      <c r="E180">
        <v>64</v>
      </c>
      <c r="F180" t="s">
        <v>15</v>
      </c>
      <c r="G180">
        <v>1</v>
      </c>
      <c r="H180">
        <v>300</v>
      </c>
      <c r="I180">
        <v>300</v>
      </c>
    </row>
    <row r="181" spans="1:9" x14ac:dyDescent="0.25">
      <c r="A181">
        <v>180</v>
      </c>
      <c r="B181" s="1">
        <v>45723</v>
      </c>
      <c r="C181" t="s">
        <v>176</v>
      </c>
      <c r="D181" t="s">
        <v>12</v>
      </c>
      <c r="E181">
        <v>47</v>
      </c>
      <c r="F181" t="s">
        <v>13</v>
      </c>
      <c r="G181">
        <v>3</v>
      </c>
      <c r="H181">
        <v>300</v>
      </c>
      <c r="I181">
        <v>900</v>
      </c>
    </row>
    <row r="182" spans="1:9" x14ac:dyDescent="0.25">
      <c r="A182">
        <v>181</v>
      </c>
      <c r="B182" s="1">
        <v>45723</v>
      </c>
      <c r="C182" t="s">
        <v>181</v>
      </c>
      <c r="D182" t="s">
        <v>9</v>
      </c>
      <c r="E182">
        <v>18</v>
      </c>
      <c r="F182" t="s">
        <v>15</v>
      </c>
      <c r="G182">
        <v>4</v>
      </c>
      <c r="H182">
        <v>300</v>
      </c>
      <c r="I182">
        <v>1200</v>
      </c>
    </row>
    <row r="183" spans="1:9" x14ac:dyDescent="0.25">
      <c r="A183">
        <v>182</v>
      </c>
      <c r="B183" s="1">
        <v>45724</v>
      </c>
      <c r="C183" t="s">
        <v>184</v>
      </c>
      <c r="D183" t="s">
        <v>9</v>
      </c>
      <c r="E183">
        <v>32</v>
      </c>
      <c r="F183" t="s">
        <v>10</v>
      </c>
      <c r="G183">
        <v>4</v>
      </c>
      <c r="H183">
        <v>30</v>
      </c>
      <c r="I183">
        <v>120</v>
      </c>
    </row>
    <row r="184" spans="1:9" x14ac:dyDescent="0.25">
      <c r="A184">
        <v>183</v>
      </c>
      <c r="B184" s="1">
        <v>45725</v>
      </c>
      <c r="C184" t="s">
        <v>186</v>
      </c>
      <c r="D184" t="s">
        <v>12</v>
      </c>
      <c r="E184">
        <v>39</v>
      </c>
      <c r="F184" t="s">
        <v>10</v>
      </c>
      <c r="G184">
        <v>3</v>
      </c>
      <c r="H184">
        <v>300</v>
      </c>
      <c r="I184">
        <v>900</v>
      </c>
    </row>
    <row r="185" spans="1:9" x14ac:dyDescent="0.25">
      <c r="A185">
        <v>184</v>
      </c>
      <c r="B185" s="1">
        <v>45725</v>
      </c>
      <c r="C185" t="s">
        <v>188</v>
      </c>
      <c r="D185" t="s">
        <v>12</v>
      </c>
      <c r="E185">
        <v>43</v>
      </c>
      <c r="F185" t="s">
        <v>15</v>
      </c>
      <c r="G185">
        <v>4</v>
      </c>
      <c r="H185">
        <v>50</v>
      </c>
      <c r="I185">
        <v>200</v>
      </c>
    </row>
    <row r="186" spans="1:9" x14ac:dyDescent="0.25">
      <c r="A186">
        <v>185</v>
      </c>
      <c r="B186" s="1">
        <v>45725</v>
      </c>
      <c r="C186" t="s">
        <v>189</v>
      </c>
      <c r="D186" t="s">
        <v>9</v>
      </c>
      <c r="E186">
        <v>45</v>
      </c>
      <c r="F186" t="s">
        <v>13</v>
      </c>
      <c r="G186">
        <v>1</v>
      </c>
      <c r="H186">
        <v>25</v>
      </c>
      <c r="I186">
        <v>25</v>
      </c>
    </row>
    <row r="187" spans="1:9" x14ac:dyDescent="0.25">
      <c r="A187">
        <v>186</v>
      </c>
      <c r="B187" s="1">
        <v>45726</v>
      </c>
      <c r="C187" t="s">
        <v>194</v>
      </c>
      <c r="D187" t="s">
        <v>9</v>
      </c>
      <c r="E187">
        <v>62</v>
      </c>
      <c r="F187" t="s">
        <v>13</v>
      </c>
      <c r="G187">
        <v>4</v>
      </c>
      <c r="H187">
        <v>50</v>
      </c>
      <c r="I187">
        <v>200</v>
      </c>
    </row>
    <row r="188" spans="1:9" x14ac:dyDescent="0.25">
      <c r="A188">
        <v>187</v>
      </c>
      <c r="B188" s="1">
        <v>45726</v>
      </c>
      <c r="C188" t="s">
        <v>195</v>
      </c>
      <c r="D188" t="s">
        <v>12</v>
      </c>
      <c r="E188">
        <v>43</v>
      </c>
      <c r="F188" t="s">
        <v>13</v>
      </c>
      <c r="G188">
        <v>2</v>
      </c>
      <c r="H188">
        <v>50</v>
      </c>
      <c r="I188">
        <v>100</v>
      </c>
    </row>
    <row r="189" spans="1:9" x14ac:dyDescent="0.25">
      <c r="A189">
        <v>188</v>
      </c>
      <c r="B189" s="1">
        <v>45727</v>
      </c>
      <c r="C189" t="s">
        <v>201</v>
      </c>
      <c r="D189" t="s">
        <v>9</v>
      </c>
      <c r="E189">
        <v>63</v>
      </c>
      <c r="F189" t="s">
        <v>13</v>
      </c>
      <c r="G189">
        <v>3</v>
      </c>
      <c r="H189">
        <v>25</v>
      </c>
      <c r="I189">
        <v>75</v>
      </c>
    </row>
    <row r="190" spans="1:9" x14ac:dyDescent="0.25">
      <c r="A190">
        <v>189</v>
      </c>
      <c r="B190" s="1">
        <v>45728</v>
      </c>
      <c r="C190" t="s">
        <v>202</v>
      </c>
      <c r="D190" t="s">
        <v>12</v>
      </c>
      <c r="E190">
        <v>60</v>
      </c>
      <c r="F190" t="s">
        <v>10</v>
      </c>
      <c r="G190">
        <v>1</v>
      </c>
      <c r="H190">
        <v>50</v>
      </c>
      <c r="I190">
        <v>50</v>
      </c>
    </row>
    <row r="191" spans="1:9" x14ac:dyDescent="0.25">
      <c r="A191">
        <v>190</v>
      </c>
      <c r="B191" s="1">
        <v>45728</v>
      </c>
      <c r="C191" t="s">
        <v>203</v>
      </c>
      <c r="D191" t="s">
        <v>9</v>
      </c>
      <c r="E191">
        <v>64</v>
      </c>
      <c r="F191" t="s">
        <v>10</v>
      </c>
      <c r="G191">
        <v>3</v>
      </c>
      <c r="H191">
        <v>30</v>
      </c>
      <c r="I191">
        <v>90</v>
      </c>
    </row>
    <row r="192" spans="1:9" x14ac:dyDescent="0.25">
      <c r="A192">
        <v>191</v>
      </c>
      <c r="B192" s="1">
        <v>45729</v>
      </c>
      <c r="C192" t="s">
        <v>204</v>
      </c>
      <c r="D192" t="s">
        <v>9</v>
      </c>
      <c r="E192">
        <v>62</v>
      </c>
      <c r="F192" t="s">
        <v>10</v>
      </c>
      <c r="G192">
        <v>1</v>
      </c>
      <c r="H192">
        <v>25</v>
      </c>
      <c r="I192">
        <v>25</v>
      </c>
    </row>
    <row r="193" spans="1:9" x14ac:dyDescent="0.25">
      <c r="A193">
        <v>192</v>
      </c>
      <c r="B193" s="1">
        <v>45729</v>
      </c>
      <c r="C193" t="s">
        <v>205</v>
      </c>
      <c r="D193" t="s">
        <v>9</v>
      </c>
      <c r="E193">
        <v>35</v>
      </c>
      <c r="F193" t="s">
        <v>10</v>
      </c>
      <c r="G193">
        <v>2</v>
      </c>
      <c r="H193">
        <v>50</v>
      </c>
      <c r="I193">
        <v>100</v>
      </c>
    </row>
    <row r="194" spans="1:9" x14ac:dyDescent="0.25">
      <c r="A194">
        <v>193</v>
      </c>
      <c r="B194" s="1">
        <v>45729</v>
      </c>
      <c r="C194" t="s">
        <v>210</v>
      </c>
      <c r="D194" t="s">
        <v>12</v>
      </c>
      <c r="E194">
        <v>54</v>
      </c>
      <c r="F194" t="s">
        <v>10</v>
      </c>
      <c r="G194">
        <v>3</v>
      </c>
      <c r="H194">
        <v>500</v>
      </c>
      <c r="I194">
        <v>1500</v>
      </c>
    </row>
    <row r="195" spans="1:9" x14ac:dyDescent="0.25">
      <c r="A195">
        <v>194</v>
      </c>
      <c r="B195" s="1">
        <v>45731</v>
      </c>
      <c r="C195" t="s">
        <v>211</v>
      </c>
      <c r="D195" t="s">
        <v>9</v>
      </c>
      <c r="E195">
        <v>45</v>
      </c>
      <c r="F195" t="s">
        <v>13</v>
      </c>
      <c r="G195">
        <v>4</v>
      </c>
      <c r="H195">
        <v>50</v>
      </c>
      <c r="I195">
        <v>200</v>
      </c>
    </row>
    <row r="196" spans="1:9" x14ac:dyDescent="0.25">
      <c r="A196">
        <v>195</v>
      </c>
      <c r="B196" s="1">
        <v>45733</v>
      </c>
      <c r="C196" t="s">
        <v>212</v>
      </c>
      <c r="D196" t="s">
        <v>9</v>
      </c>
      <c r="E196">
        <v>27</v>
      </c>
      <c r="F196" t="s">
        <v>13</v>
      </c>
      <c r="G196">
        <v>1</v>
      </c>
      <c r="H196">
        <v>30</v>
      </c>
      <c r="I196">
        <v>30</v>
      </c>
    </row>
    <row r="197" spans="1:9" x14ac:dyDescent="0.25">
      <c r="A197">
        <v>196</v>
      </c>
      <c r="B197" s="1">
        <v>45733</v>
      </c>
      <c r="C197" t="s">
        <v>216</v>
      </c>
      <c r="D197" t="s">
        <v>9</v>
      </c>
      <c r="E197">
        <v>39</v>
      </c>
      <c r="F197" t="s">
        <v>13</v>
      </c>
      <c r="G197">
        <v>3</v>
      </c>
      <c r="H197">
        <v>300</v>
      </c>
      <c r="I197">
        <v>900</v>
      </c>
    </row>
    <row r="198" spans="1:9" x14ac:dyDescent="0.25">
      <c r="A198">
        <v>197</v>
      </c>
      <c r="B198" s="1">
        <v>45733</v>
      </c>
      <c r="C198" t="s">
        <v>219</v>
      </c>
      <c r="D198" t="s">
        <v>12</v>
      </c>
      <c r="E198">
        <v>42</v>
      </c>
      <c r="F198" t="s">
        <v>13</v>
      </c>
      <c r="G198">
        <v>4</v>
      </c>
      <c r="H198">
        <v>50</v>
      </c>
      <c r="I198">
        <v>200</v>
      </c>
    </row>
    <row r="199" spans="1:9" x14ac:dyDescent="0.25">
      <c r="A199">
        <v>198</v>
      </c>
      <c r="B199" s="1">
        <v>45734</v>
      </c>
      <c r="C199" t="s">
        <v>223</v>
      </c>
      <c r="D199" t="s">
        <v>9</v>
      </c>
      <c r="E199">
        <v>42</v>
      </c>
      <c r="F199" t="s">
        <v>10</v>
      </c>
      <c r="G199">
        <v>3</v>
      </c>
      <c r="H199">
        <v>300</v>
      </c>
      <c r="I199">
        <v>900</v>
      </c>
    </row>
    <row r="200" spans="1:9" x14ac:dyDescent="0.25">
      <c r="A200">
        <v>199</v>
      </c>
      <c r="B200" s="1">
        <v>45734</v>
      </c>
      <c r="C200" t="s">
        <v>225</v>
      </c>
      <c r="D200" t="s">
        <v>9</v>
      </c>
      <c r="E200">
        <v>27</v>
      </c>
      <c r="F200" t="s">
        <v>10</v>
      </c>
      <c r="G200">
        <v>3</v>
      </c>
      <c r="H200">
        <v>500</v>
      </c>
      <c r="I200">
        <v>1500</v>
      </c>
    </row>
    <row r="201" spans="1:9" x14ac:dyDescent="0.25">
      <c r="A201">
        <v>200</v>
      </c>
      <c r="B201" s="1">
        <v>45735</v>
      </c>
      <c r="C201" t="s">
        <v>226</v>
      </c>
      <c r="D201" t="s">
        <v>9</v>
      </c>
      <c r="E201">
        <v>20</v>
      </c>
      <c r="F201" t="s">
        <v>10</v>
      </c>
      <c r="G201">
        <v>3</v>
      </c>
      <c r="H201">
        <v>50</v>
      </c>
      <c r="I201">
        <v>150</v>
      </c>
    </row>
    <row r="202" spans="1:9" x14ac:dyDescent="0.25">
      <c r="A202">
        <v>201</v>
      </c>
      <c r="B202" s="1">
        <v>45735</v>
      </c>
      <c r="C202" t="s">
        <v>230</v>
      </c>
      <c r="D202" t="s">
        <v>9</v>
      </c>
      <c r="E202">
        <v>64</v>
      </c>
      <c r="F202" t="s">
        <v>15</v>
      </c>
      <c r="G202">
        <v>1</v>
      </c>
      <c r="H202">
        <v>25</v>
      </c>
      <c r="I202">
        <v>25</v>
      </c>
    </row>
    <row r="203" spans="1:9" x14ac:dyDescent="0.25">
      <c r="A203">
        <v>202</v>
      </c>
      <c r="B203" s="1">
        <v>45736</v>
      </c>
      <c r="C203" t="s">
        <v>232</v>
      </c>
      <c r="D203" t="s">
        <v>9</v>
      </c>
      <c r="E203">
        <v>64</v>
      </c>
      <c r="F203" t="s">
        <v>13</v>
      </c>
      <c r="G203">
        <v>4</v>
      </c>
      <c r="H203">
        <v>300</v>
      </c>
      <c r="I203">
        <v>1200</v>
      </c>
    </row>
    <row r="204" spans="1:9" x14ac:dyDescent="0.25">
      <c r="A204">
        <v>203</v>
      </c>
      <c r="B204" s="1">
        <v>45736</v>
      </c>
      <c r="C204" t="s">
        <v>233</v>
      </c>
      <c r="D204" t="s">
        <v>9</v>
      </c>
      <c r="E204">
        <v>39</v>
      </c>
      <c r="F204" t="s">
        <v>13</v>
      </c>
      <c r="G204">
        <v>2</v>
      </c>
      <c r="H204">
        <v>500</v>
      </c>
      <c r="I204">
        <v>1000</v>
      </c>
    </row>
    <row r="205" spans="1:9" x14ac:dyDescent="0.25">
      <c r="A205">
        <v>204</v>
      </c>
      <c r="B205" s="1">
        <v>45736</v>
      </c>
      <c r="C205" t="s">
        <v>237</v>
      </c>
      <c r="D205" t="s">
        <v>12</v>
      </c>
      <c r="E205">
        <v>57</v>
      </c>
      <c r="F205" t="s">
        <v>10</v>
      </c>
      <c r="G205">
        <v>1</v>
      </c>
      <c r="H205">
        <v>25</v>
      </c>
      <c r="I205">
        <v>25</v>
      </c>
    </row>
    <row r="206" spans="1:9" x14ac:dyDescent="0.25">
      <c r="A206">
        <v>205</v>
      </c>
      <c r="B206" s="1">
        <v>45736</v>
      </c>
      <c r="C206" t="s">
        <v>241</v>
      </c>
      <c r="D206" t="s">
        <v>9</v>
      </c>
      <c r="E206">
        <v>58</v>
      </c>
      <c r="F206" t="s">
        <v>13</v>
      </c>
      <c r="G206">
        <v>1</v>
      </c>
      <c r="H206">
        <v>25</v>
      </c>
      <c r="I206">
        <v>25</v>
      </c>
    </row>
    <row r="207" spans="1:9" x14ac:dyDescent="0.25">
      <c r="A207">
        <v>206</v>
      </c>
      <c r="B207" s="1">
        <v>45736</v>
      </c>
      <c r="C207" t="s">
        <v>242</v>
      </c>
      <c r="D207" t="s">
        <v>9</v>
      </c>
      <c r="E207">
        <v>54</v>
      </c>
      <c r="F207" t="s">
        <v>13</v>
      </c>
      <c r="G207">
        <v>1</v>
      </c>
      <c r="H207">
        <v>25</v>
      </c>
      <c r="I207">
        <v>25</v>
      </c>
    </row>
    <row r="208" spans="1:9" x14ac:dyDescent="0.25">
      <c r="A208">
        <v>207</v>
      </c>
      <c r="B208" s="1">
        <v>45737</v>
      </c>
      <c r="C208" t="s">
        <v>244</v>
      </c>
      <c r="D208" t="s">
        <v>12</v>
      </c>
      <c r="E208">
        <v>43</v>
      </c>
      <c r="F208" t="s">
        <v>10</v>
      </c>
      <c r="G208">
        <v>2</v>
      </c>
      <c r="H208">
        <v>25</v>
      </c>
      <c r="I208">
        <v>50</v>
      </c>
    </row>
    <row r="209" spans="1:9" x14ac:dyDescent="0.25">
      <c r="A209">
        <v>208</v>
      </c>
      <c r="B209" s="1">
        <v>45737</v>
      </c>
      <c r="C209" t="s">
        <v>245</v>
      </c>
      <c r="D209" t="s">
        <v>12</v>
      </c>
      <c r="E209">
        <v>51</v>
      </c>
      <c r="F209" t="s">
        <v>15</v>
      </c>
      <c r="G209">
        <v>4</v>
      </c>
      <c r="H209">
        <v>50</v>
      </c>
      <c r="I209">
        <v>200</v>
      </c>
    </row>
    <row r="210" spans="1:9" x14ac:dyDescent="0.25">
      <c r="A210">
        <v>209</v>
      </c>
      <c r="B210" s="1">
        <v>45737</v>
      </c>
      <c r="C210" t="s">
        <v>249</v>
      </c>
      <c r="D210" t="s">
        <v>12</v>
      </c>
      <c r="E210">
        <v>50</v>
      </c>
      <c r="F210" t="s">
        <v>15</v>
      </c>
      <c r="G210">
        <v>4</v>
      </c>
      <c r="H210">
        <v>50</v>
      </c>
      <c r="I210">
        <v>200</v>
      </c>
    </row>
    <row r="211" spans="1:9" x14ac:dyDescent="0.25">
      <c r="A211">
        <v>210</v>
      </c>
      <c r="B211" s="1">
        <v>45737</v>
      </c>
      <c r="C211" t="s">
        <v>250</v>
      </c>
      <c r="D211" t="s">
        <v>12</v>
      </c>
      <c r="E211">
        <v>39</v>
      </c>
      <c r="F211" t="s">
        <v>15</v>
      </c>
      <c r="G211">
        <v>4</v>
      </c>
      <c r="H211">
        <v>50</v>
      </c>
      <c r="I211">
        <v>200</v>
      </c>
    </row>
    <row r="212" spans="1:9" x14ac:dyDescent="0.25">
      <c r="A212">
        <v>211</v>
      </c>
      <c r="B212" s="1">
        <v>45738</v>
      </c>
      <c r="C212" t="s">
        <v>252</v>
      </c>
      <c r="D212" t="s">
        <v>12</v>
      </c>
      <c r="E212">
        <v>23</v>
      </c>
      <c r="F212" t="s">
        <v>10</v>
      </c>
      <c r="G212">
        <v>3</v>
      </c>
      <c r="H212">
        <v>500</v>
      </c>
      <c r="I212">
        <v>1500</v>
      </c>
    </row>
    <row r="213" spans="1:9" x14ac:dyDescent="0.25">
      <c r="A213">
        <v>212</v>
      </c>
      <c r="B213" s="1">
        <v>45738</v>
      </c>
      <c r="C213" t="s">
        <v>256</v>
      </c>
      <c r="D213" t="s">
        <v>9</v>
      </c>
      <c r="E213">
        <v>28</v>
      </c>
      <c r="F213" t="s">
        <v>13</v>
      </c>
      <c r="G213">
        <v>3</v>
      </c>
      <c r="H213">
        <v>500</v>
      </c>
      <c r="I213">
        <v>1500</v>
      </c>
    </row>
    <row r="214" spans="1:9" x14ac:dyDescent="0.25">
      <c r="A214">
        <v>213</v>
      </c>
      <c r="B214" s="1">
        <v>45738</v>
      </c>
      <c r="C214" t="s">
        <v>263</v>
      </c>
      <c r="D214" t="s">
        <v>12</v>
      </c>
      <c r="E214">
        <v>57</v>
      </c>
      <c r="F214" t="s">
        <v>10</v>
      </c>
      <c r="G214">
        <v>3</v>
      </c>
      <c r="H214">
        <v>500</v>
      </c>
      <c r="I214">
        <v>1500</v>
      </c>
    </row>
    <row r="215" spans="1:9" x14ac:dyDescent="0.25">
      <c r="A215">
        <v>214</v>
      </c>
      <c r="B215" s="1">
        <v>45738</v>
      </c>
      <c r="C215" t="s">
        <v>269</v>
      </c>
      <c r="D215" t="s">
        <v>9</v>
      </c>
      <c r="E215">
        <v>19</v>
      </c>
      <c r="F215" t="s">
        <v>10</v>
      </c>
      <c r="G215">
        <v>2</v>
      </c>
      <c r="H215">
        <v>30</v>
      </c>
      <c r="I215">
        <v>60</v>
      </c>
    </row>
    <row r="216" spans="1:9" x14ac:dyDescent="0.25">
      <c r="A216">
        <v>215</v>
      </c>
      <c r="B216" s="1">
        <v>45738</v>
      </c>
      <c r="C216" t="s">
        <v>177</v>
      </c>
      <c r="D216" t="s">
        <v>12</v>
      </c>
      <c r="E216">
        <v>60</v>
      </c>
      <c r="F216" t="s">
        <v>13</v>
      </c>
      <c r="G216">
        <v>3</v>
      </c>
      <c r="H216">
        <v>500</v>
      </c>
      <c r="I216">
        <v>1500</v>
      </c>
    </row>
    <row r="217" spans="1:9" x14ac:dyDescent="0.25">
      <c r="A217">
        <v>216</v>
      </c>
      <c r="B217" s="1">
        <v>45739</v>
      </c>
      <c r="C217" t="s">
        <v>178</v>
      </c>
      <c r="D217" t="s">
        <v>9</v>
      </c>
      <c r="E217">
        <v>34</v>
      </c>
      <c r="F217" t="s">
        <v>15</v>
      </c>
      <c r="G217">
        <v>2</v>
      </c>
      <c r="H217">
        <v>50</v>
      </c>
      <c r="I217">
        <v>100</v>
      </c>
    </row>
    <row r="218" spans="1:9" x14ac:dyDescent="0.25">
      <c r="A218">
        <v>217</v>
      </c>
      <c r="B218" s="1">
        <v>45739</v>
      </c>
      <c r="C218" t="s">
        <v>179</v>
      </c>
      <c r="D218" t="s">
        <v>12</v>
      </c>
      <c r="E218">
        <v>43</v>
      </c>
      <c r="F218" t="s">
        <v>15</v>
      </c>
      <c r="G218">
        <v>4</v>
      </c>
      <c r="H218">
        <v>50</v>
      </c>
      <c r="I218">
        <v>200</v>
      </c>
    </row>
    <row r="219" spans="1:9" x14ac:dyDescent="0.25">
      <c r="A219">
        <v>218</v>
      </c>
      <c r="B219" s="1">
        <v>45739</v>
      </c>
      <c r="C219" t="s">
        <v>180</v>
      </c>
      <c r="D219" t="s">
        <v>9</v>
      </c>
      <c r="E219">
        <v>53</v>
      </c>
      <c r="F219" t="s">
        <v>10</v>
      </c>
      <c r="G219">
        <v>3</v>
      </c>
      <c r="H219">
        <v>30</v>
      </c>
      <c r="I219">
        <v>90</v>
      </c>
    </row>
    <row r="220" spans="1:9" x14ac:dyDescent="0.25">
      <c r="A220">
        <v>219</v>
      </c>
      <c r="B220" s="1">
        <v>45739</v>
      </c>
      <c r="C220" t="s">
        <v>181</v>
      </c>
      <c r="D220" t="s">
        <v>9</v>
      </c>
      <c r="E220">
        <v>18</v>
      </c>
      <c r="F220" t="s">
        <v>15</v>
      </c>
      <c r="G220">
        <v>3</v>
      </c>
      <c r="H220">
        <v>30</v>
      </c>
      <c r="I220">
        <v>90</v>
      </c>
    </row>
    <row r="221" spans="1:9" x14ac:dyDescent="0.25">
      <c r="A221">
        <v>220</v>
      </c>
      <c r="B221" s="1">
        <v>45740</v>
      </c>
      <c r="C221" t="s">
        <v>182</v>
      </c>
      <c r="D221" t="s">
        <v>12</v>
      </c>
      <c r="E221">
        <v>25</v>
      </c>
      <c r="F221" t="s">
        <v>10</v>
      </c>
      <c r="G221">
        <v>1</v>
      </c>
      <c r="H221">
        <v>500</v>
      </c>
      <c r="I221">
        <v>500</v>
      </c>
    </row>
    <row r="222" spans="1:9" x14ac:dyDescent="0.25">
      <c r="A222">
        <v>221</v>
      </c>
      <c r="B222" s="1">
        <v>45740</v>
      </c>
      <c r="C222" t="s">
        <v>183</v>
      </c>
      <c r="D222" t="s">
        <v>12</v>
      </c>
      <c r="E222">
        <v>52</v>
      </c>
      <c r="F222" t="s">
        <v>10</v>
      </c>
      <c r="G222">
        <v>2</v>
      </c>
      <c r="H222">
        <v>300</v>
      </c>
      <c r="I222">
        <v>600</v>
      </c>
    </row>
    <row r="223" spans="1:9" x14ac:dyDescent="0.25">
      <c r="A223">
        <v>222</v>
      </c>
      <c r="B223" s="1">
        <v>45741</v>
      </c>
      <c r="C223" t="s">
        <v>184</v>
      </c>
      <c r="D223" t="s">
        <v>9</v>
      </c>
      <c r="E223">
        <v>32</v>
      </c>
      <c r="F223" t="s">
        <v>13</v>
      </c>
      <c r="G223">
        <v>4</v>
      </c>
      <c r="H223">
        <v>30</v>
      </c>
      <c r="I223">
        <v>120</v>
      </c>
    </row>
    <row r="224" spans="1:9" x14ac:dyDescent="0.25">
      <c r="A224">
        <v>223</v>
      </c>
      <c r="B224" s="1">
        <v>45741</v>
      </c>
      <c r="C224" t="s">
        <v>185</v>
      </c>
      <c r="D224" t="s">
        <v>9</v>
      </c>
      <c r="E224">
        <v>64</v>
      </c>
      <c r="F224" t="s">
        <v>13</v>
      </c>
      <c r="G224">
        <v>1</v>
      </c>
      <c r="H224">
        <v>25</v>
      </c>
      <c r="I224">
        <v>25</v>
      </c>
    </row>
    <row r="225" spans="1:9" x14ac:dyDescent="0.25">
      <c r="A225">
        <v>224</v>
      </c>
      <c r="B225" s="1">
        <v>45741</v>
      </c>
      <c r="C225" t="s">
        <v>186</v>
      </c>
      <c r="D225" t="s">
        <v>12</v>
      </c>
      <c r="E225">
        <v>39</v>
      </c>
      <c r="F225" t="s">
        <v>13</v>
      </c>
      <c r="G225">
        <v>1</v>
      </c>
      <c r="H225">
        <v>50</v>
      </c>
      <c r="I225">
        <v>50</v>
      </c>
    </row>
    <row r="226" spans="1:9" x14ac:dyDescent="0.25">
      <c r="A226">
        <v>225</v>
      </c>
      <c r="B226" s="1">
        <v>45741</v>
      </c>
      <c r="C226" t="s">
        <v>187</v>
      </c>
      <c r="D226" t="s">
        <v>12</v>
      </c>
      <c r="E226">
        <v>31</v>
      </c>
      <c r="F226" t="s">
        <v>10</v>
      </c>
      <c r="G226">
        <v>4</v>
      </c>
      <c r="H226">
        <v>25</v>
      </c>
      <c r="I226">
        <v>100</v>
      </c>
    </row>
    <row r="227" spans="1:9" x14ac:dyDescent="0.25">
      <c r="A227">
        <v>226</v>
      </c>
      <c r="B227" s="1">
        <v>45742</v>
      </c>
      <c r="C227" t="s">
        <v>188</v>
      </c>
      <c r="D227" t="s">
        <v>12</v>
      </c>
      <c r="E227">
        <v>43</v>
      </c>
      <c r="F227" t="s">
        <v>13</v>
      </c>
      <c r="G227">
        <v>1</v>
      </c>
      <c r="H227">
        <v>50</v>
      </c>
      <c r="I227">
        <v>50</v>
      </c>
    </row>
    <row r="228" spans="1:9" x14ac:dyDescent="0.25">
      <c r="A228">
        <v>227</v>
      </c>
      <c r="B228" s="1">
        <v>45742</v>
      </c>
      <c r="C228" t="s">
        <v>189</v>
      </c>
      <c r="D228" t="s">
        <v>9</v>
      </c>
      <c r="E228">
        <v>45</v>
      </c>
      <c r="F228" t="s">
        <v>15</v>
      </c>
      <c r="G228">
        <v>2</v>
      </c>
      <c r="H228">
        <v>50</v>
      </c>
      <c r="I228">
        <v>100</v>
      </c>
    </row>
    <row r="229" spans="1:9" x14ac:dyDescent="0.25">
      <c r="A229">
        <v>228</v>
      </c>
      <c r="B229" s="1">
        <v>45742</v>
      </c>
      <c r="C229" t="s">
        <v>190</v>
      </c>
      <c r="D229" t="s">
        <v>9</v>
      </c>
      <c r="E229">
        <v>40</v>
      </c>
      <c r="F229" t="s">
        <v>15</v>
      </c>
      <c r="G229">
        <v>2</v>
      </c>
      <c r="H229">
        <v>30</v>
      </c>
      <c r="I229">
        <v>60</v>
      </c>
    </row>
    <row r="230" spans="1:9" x14ac:dyDescent="0.25">
      <c r="A230">
        <v>229</v>
      </c>
      <c r="B230" s="1">
        <v>45743</v>
      </c>
      <c r="C230" t="s">
        <v>191</v>
      </c>
      <c r="D230" t="s">
        <v>9</v>
      </c>
      <c r="E230">
        <v>31</v>
      </c>
      <c r="F230" t="s">
        <v>10</v>
      </c>
      <c r="G230">
        <v>3</v>
      </c>
      <c r="H230">
        <v>30</v>
      </c>
      <c r="I230">
        <v>90</v>
      </c>
    </row>
    <row r="231" spans="1:9" x14ac:dyDescent="0.25">
      <c r="A231">
        <v>230</v>
      </c>
      <c r="B231" s="1">
        <v>45743</v>
      </c>
      <c r="C231" t="s">
        <v>192</v>
      </c>
      <c r="D231" t="s">
        <v>9</v>
      </c>
      <c r="E231">
        <v>41</v>
      </c>
      <c r="F231" t="s">
        <v>10</v>
      </c>
      <c r="G231">
        <v>1</v>
      </c>
      <c r="H231">
        <v>25</v>
      </c>
      <c r="I231">
        <v>25</v>
      </c>
    </row>
    <row r="232" spans="1:9" x14ac:dyDescent="0.25">
      <c r="A232">
        <v>231</v>
      </c>
      <c r="B232" s="1">
        <v>45744</v>
      </c>
      <c r="C232" t="s">
        <v>193</v>
      </c>
      <c r="D232" t="s">
        <v>9</v>
      </c>
      <c r="E232">
        <v>19</v>
      </c>
      <c r="F232" t="s">
        <v>13</v>
      </c>
      <c r="G232">
        <v>3</v>
      </c>
      <c r="H232">
        <v>50</v>
      </c>
      <c r="I232">
        <v>150</v>
      </c>
    </row>
    <row r="233" spans="1:9" x14ac:dyDescent="0.25">
      <c r="A233">
        <v>232</v>
      </c>
      <c r="B233" s="1">
        <v>45745</v>
      </c>
      <c r="C233" t="s">
        <v>194</v>
      </c>
      <c r="D233" t="s">
        <v>9</v>
      </c>
      <c r="E233">
        <v>62</v>
      </c>
      <c r="F233" t="s">
        <v>10</v>
      </c>
      <c r="G233">
        <v>1</v>
      </c>
      <c r="H233">
        <v>25</v>
      </c>
      <c r="I233">
        <v>25</v>
      </c>
    </row>
    <row r="234" spans="1:9" x14ac:dyDescent="0.25">
      <c r="A234">
        <v>233</v>
      </c>
      <c r="B234" s="1">
        <v>45746</v>
      </c>
      <c r="C234" t="s">
        <v>195</v>
      </c>
      <c r="D234" t="s">
        <v>12</v>
      </c>
      <c r="E234">
        <v>43</v>
      </c>
      <c r="F234" t="s">
        <v>10</v>
      </c>
      <c r="G234">
        <v>2</v>
      </c>
      <c r="H234">
        <v>300</v>
      </c>
      <c r="I234">
        <v>600</v>
      </c>
    </row>
    <row r="235" spans="1:9" x14ac:dyDescent="0.25">
      <c r="A235">
        <v>234</v>
      </c>
      <c r="B235" s="1">
        <v>45747</v>
      </c>
      <c r="C235" t="s">
        <v>196</v>
      </c>
      <c r="D235" t="s">
        <v>9</v>
      </c>
      <c r="E235">
        <v>31</v>
      </c>
      <c r="F235" t="s">
        <v>15</v>
      </c>
      <c r="G235">
        <v>2</v>
      </c>
      <c r="H235">
        <v>25</v>
      </c>
      <c r="I235">
        <v>50</v>
      </c>
    </row>
    <row r="236" spans="1:9" x14ac:dyDescent="0.25">
      <c r="A236">
        <v>235</v>
      </c>
      <c r="B236" s="1">
        <v>45748</v>
      </c>
      <c r="C236" t="s">
        <v>197</v>
      </c>
      <c r="D236" t="s">
        <v>9</v>
      </c>
      <c r="E236">
        <v>24</v>
      </c>
      <c r="F236" t="s">
        <v>15</v>
      </c>
      <c r="G236">
        <v>2</v>
      </c>
      <c r="H236">
        <v>500</v>
      </c>
      <c r="I236">
        <v>1000</v>
      </c>
    </row>
    <row r="237" spans="1:9" x14ac:dyDescent="0.25">
      <c r="A237">
        <v>236</v>
      </c>
      <c r="B237" s="1">
        <v>45748</v>
      </c>
      <c r="C237" t="s">
        <v>198</v>
      </c>
      <c r="D237" t="s">
        <v>9</v>
      </c>
      <c r="E237">
        <v>20</v>
      </c>
      <c r="F237" t="s">
        <v>13</v>
      </c>
      <c r="G237">
        <v>1</v>
      </c>
      <c r="H237">
        <v>25</v>
      </c>
      <c r="I237">
        <v>25</v>
      </c>
    </row>
    <row r="238" spans="1:9" x14ac:dyDescent="0.25">
      <c r="A238">
        <v>237</v>
      </c>
      <c r="B238" s="1">
        <v>45748</v>
      </c>
      <c r="C238" t="s">
        <v>199</v>
      </c>
      <c r="D238" t="s">
        <v>12</v>
      </c>
      <c r="E238">
        <v>64</v>
      </c>
      <c r="F238" t="s">
        <v>10</v>
      </c>
      <c r="G238">
        <v>2</v>
      </c>
      <c r="H238">
        <v>500</v>
      </c>
      <c r="I238">
        <v>1000</v>
      </c>
    </row>
    <row r="239" spans="1:9" x14ac:dyDescent="0.25">
      <c r="A239">
        <v>238</v>
      </c>
      <c r="B239" s="1">
        <v>45749</v>
      </c>
      <c r="C239" t="s">
        <v>200</v>
      </c>
      <c r="D239" t="s">
        <v>9</v>
      </c>
      <c r="E239">
        <v>40</v>
      </c>
      <c r="F239" t="s">
        <v>10</v>
      </c>
      <c r="G239">
        <v>1</v>
      </c>
      <c r="H239">
        <v>500</v>
      </c>
      <c r="I239">
        <v>500</v>
      </c>
    </row>
    <row r="240" spans="1:9" x14ac:dyDescent="0.25">
      <c r="A240">
        <v>239</v>
      </c>
      <c r="B240" s="1">
        <v>45749</v>
      </c>
      <c r="C240" t="s">
        <v>201</v>
      </c>
      <c r="D240" t="s">
        <v>9</v>
      </c>
      <c r="E240">
        <v>63</v>
      </c>
      <c r="F240" t="s">
        <v>15</v>
      </c>
      <c r="G240">
        <v>3</v>
      </c>
      <c r="H240">
        <v>500</v>
      </c>
      <c r="I240">
        <v>1500</v>
      </c>
    </row>
    <row r="241" spans="1:9" x14ac:dyDescent="0.25">
      <c r="A241">
        <v>240</v>
      </c>
      <c r="B241" s="1">
        <v>45749</v>
      </c>
      <c r="C241" t="s">
        <v>202</v>
      </c>
      <c r="D241" t="s">
        <v>12</v>
      </c>
      <c r="E241">
        <v>60</v>
      </c>
      <c r="F241" t="s">
        <v>10</v>
      </c>
      <c r="G241">
        <v>1</v>
      </c>
      <c r="H241">
        <v>300</v>
      </c>
      <c r="I241">
        <v>300</v>
      </c>
    </row>
    <row r="242" spans="1:9" x14ac:dyDescent="0.25">
      <c r="A242">
        <v>241</v>
      </c>
      <c r="B242" s="1">
        <v>45749</v>
      </c>
      <c r="C242" t="s">
        <v>203</v>
      </c>
      <c r="D242" t="s">
        <v>9</v>
      </c>
      <c r="E242">
        <v>64</v>
      </c>
      <c r="F242" t="s">
        <v>15</v>
      </c>
      <c r="G242">
        <v>3</v>
      </c>
      <c r="H242">
        <v>25</v>
      </c>
      <c r="I242">
        <v>75</v>
      </c>
    </row>
    <row r="243" spans="1:9" x14ac:dyDescent="0.25">
      <c r="A243">
        <v>242</v>
      </c>
      <c r="B243" s="1">
        <v>45751</v>
      </c>
      <c r="C243" t="s">
        <v>204</v>
      </c>
      <c r="D243" t="s">
        <v>9</v>
      </c>
      <c r="E243">
        <v>62</v>
      </c>
      <c r="F243" t="s">
        <v>13</v>
      </c>
      <c r="G243">
        <v>1</v>
      </c>
      <c r="H243">
        <v>25</v>
      </c>
      <c r="I243">
        <v>25</v>
      </c>
    </row>
    <row r="244" spans="1:9" x14ac:dyDescent="0.25">
      <c r="A244">
        <v>243</v>
      </c>
      <c r="B244" s="1">
        <v>45751</v>
      </c>
      <c r="C244" t="s">
        <v>205</v>
      </c>
      <c r="D244" t="s">
        <v>9</v>
      </c>
      <c r="E244">
        <v>35</v>
      </c>
      <c r="F244" t="s">
        <v>15</v>
      </c>
      <c r="G244">
        <v>3</v>
      </c>
      <c r="H244">
        <v>300</v>
      </c>
      <c r="I244">
        <v>900</v>
      </c>
    </row>
    <row r="245" spans="1:9" x14ac:dyDescent="0.25">
      <c r="A245">
        <v>244</v>
      </c>
      <c r="B245" s="1">
        <v>45751</v>
      </c>
      <c r="C245" t="s">
        <v>206</v>
      </c>
      <c r="D245" t="s">
        <v>9</v>
      </c>
      <c r="E245">
        <v>55</v>
      </c>
      <c r="F245" t="s">
        <v>10</v>
      </c>
      <c r="G245">
        <v>2</v>
      </c>
      <c r="H245">
        <v>50</v>
      </c>
      <c r="I245">
        <v>100</v>
      </c>
    </row>
    <row r="246" spans="1:9" x14ac:dyDescent="0.25">
      <c r="A246">
        <v>245</v>
      </c>
      <c r="B246" s="1">
        <v>45752</v>
      </c>
      <c r="C246" t="s">
        <v>207</v>
      </c>
      <c r="D246" t="s">
        <v>9</v>
      </c>
      <c r="E246">
        <v>52</v>
      </c>
      <c r="F246" t="s">
        <v>13</v>
      </c>
      <c r="G246">
        <v>3</v>
      </c>
      <c r="H246">
        <v>30</v>
      </c>
      <c r="I246">
        <v>90</v>
      </c>
    </row>
    <row r="247" spans="1:9" x14ac:dyDescent="0.25">
      <c r="A247">
        <v>246</v>
      </c>
      <c r="B247" s="1">
        <v>45752</v>
      </c>
      <c r="C247" t="s">
        <v>208</v>
      </c>
      <c r="D247" t="s">
        <v>12</v>
      </c>
      <c r="E247">
        <v>32</v>
      </c>
      <c r="F247" t="s">
        <v>15</v>
      </c>
      <c r="G247">
        <v>2</v>
      </c>
      <c r="H247">
        <v>25</v>
      </c>
      <c r="I247">
        <v>50</v>
      </c>
    </row>
    <row r="248" spans="1:9" x14ac:dyDescent="0.25">
      <c r="A248">
        <v>247</v>
      </c>
      <c r="B248" s="1">
        <v>45753</v>
      </c>
      <c r="C248" t="s">
        <v>209</v>
      </c>
      <c r="D248" t="s">
        <v>12</v>
      </c>
      <c r="E248">
        <v>42</v>
      </c>
      <c r="F248" t="s">
        <v>15</v>
      </c>
      <c r="G248">
        <v>2</v>
      </c>
      <c r="H248">
        <v>30</v>
      </c>
      <c r="I248">
        <v>60</v>
      </c>
    </row>
    <row r="249" spans="1:9" x14ac:dyDescent="0.25">
      <c r="A249">
        <v>248</v>
      </c>
      <c r="B249" s="1">
        <v>45755</v>
      </c>
      <c r="C249" t="s">
        <v>210</v>
      </c>
      <c r="D249" t="s">
        <v>12</v>
      </c>
      <c r="E249">
        <v>54</v>
      </c>
      <c r="F249" t="s">
        <v>13</v>
      </c>
      <c r="G249">
        <v>3</v>
      </c>
      <c r="H249">
        <v>300</v>
      </c>
      <c r="I249">
        <v>900</v>
      </c>
    </row>
    <row r="250" spans="1:9" x14ac:dyDescent="0.25">
      <c r="A250">
        <v>249</v>
      </c>
      <c r="B250" s="1">
        <v>45755</v>
      </c>
      <c r="C250" t="s">
        <v>211</v>
      </c>
      <c r="D250" t="s">
        <v>9</v>
      </c>
      <c r="E250">
        <v>45</v>
      </c>
      <c r="F250" t="s">
        <v>13</v>
      </c>
      <c r="G250">
        <v>1</v>
      </c>
      <c r="H250">
        <v>50</v>
      </c>
      <c r="I250">
        <v>50</v>
      </c>
    </row>
    <row r="251" spans="1:9" x14ac:dyDescent="0.25">
      <c r="A251">
        <v>250</v>
      </c>
      <c r="B251" s="1">
        <v>45755</v>
      </c>
      <c r="C251" t="s">
        <v>212</v>
      </c>
      <c r="D251" t="s">
        <v>9</v>
      </c>
      <c r="E251">
        <v>27</v>
      </c>
      <c r="F251" t="s">
        <v>15</v>
      </c>
      <c r="G251">
        <v>1</v>
      </c>
      <c r="H251">
        <v>50</v>
      </c>
      <c r="I251">
        <v>50</v>
      </c>
    </row>
    <row r="252" spans="1:9" x14ac:dyDescent="0.25">
      <c r="A252">
        <v>251</v>
      </c>
      <c r="B252" s="1">
        <v>45755</v>
      </c>
      <c r="C252" t="s">
        <v>213</v>
      </c>
      <c r="D252" t="s">
        <v>9</v>
      </c>
      <c r="E252">
        <v>56</v>
      </c>
      <c r="F252" t="s">
        <v>10</v>
      </c>
      <c r="G252">
        <v>4</v>
      </c>
      <c r="H252">
        <v>50</v>
      </c>
      <c r="I252">
        <v>200</v>
      </c>
    </row>
    <row r="253" spans="1:9" x14ac:dyDescent="0.25">
      <c r="A253">
        <v>252</v>
      </c>
      <c r="B253" s="1">
        <v>45755</v>
      </c>
      <c r="C253" t="s">
        <v>214</v>
      </c>
      <c r="D253" t="s">
        <v>12</v>
      </c>
      <c r="E253">
        <v>34</v>
      </c>
      <c r="F253" t="s">
        <v>15</v>
      </c>
      <c r="G253">
        <v>1</v>
      </c>
      <c r="H253">
        <v>300</v>
      </c>
      <c r="I253">
        <v>300</v>
      </c>
    </row>
    <row r="254" spans="1:9" x14ac:dyDescent="0.25">
      <c r="A254">
        <v>253</v>
      </c>
      <c r="B254" s="1">
        <v>45756</v>
      </c>
      <c r="C254" t="s">
        <v>215</v>
      </c>
      <c r="D254" t="s">
        <v>9</v>
      </c>
      <c r="E254">
        <v>56</v>
      </c>
      <c r="F254" t="s">
        <v>13</v>
      </c>
      <c r="G254">
        <v>4</v>
      </c>
      <c r="H254">
        <v>500</v>
      </c>
      <c r="I254">
        <v>2000</v>
      </c>
    </row>
    <row r="255" spans="1:9" x14ac:dyDescent="0.25">
      <c r="A255">
        <v>254</v>
      </c>
      <c r="B255" s="1">
        <v>45756</v>
      </c>
      <c r="C255" t="s">
        <v>216</v>
      </c>
      <c r="D255" t="s">
        <v>9</v>
      </c>
      <c r="E255">
        <v>39</v>
      </c>
      <c r="F255" t="s">
        <v>15</v>
      </c>
      <c r="G255">
        <v>1</v>
      </c>
      <c r="H255">
        <v>500</v>
      </c>
      <c r="I255">
        <v>500</v>
      </c>
    </row>
    <row r="256" spans="1:9" x14ac:dyDescent="0.25">
      <c r="A256">
        <v>255</v>
      </c>
      <c r="B256" s="1">
        <v>45756</v>
      </c>
      <c r="C256" t="s">
        <v>217</v>
      </c>
      <c r="D256" t="s">
        <v>12</v>
      </c>
      <c r="E256">
        <v>43</v>
      </c>
      <c r="F256" t="s">
        <v>13</v>
      </c>
      <c r="G256">
        <v>1</v>
      </c>
      <c r="H256">
        <v>30</v>
      </c>
      <c r="I256">
        <v>30</v>
      </c>
    </row>
    <row r="257" spans="1:9" x14ac:dyDescent="0.25">
      <c r="A257">
        <v>256</v>
      </c>
      <c r="B257" s="1">
        <v>45756</v>
      </c>
      <c r="C257" t="s">
        <v>218</v>
      </c>
      <c r="D257" t="s">
        <v>9</v>
      </c>
      <c r="E257">
        <v>61</v>
      </c>
      <c r="F257" t="s">
        <v>13</v>
      </c>
      <c r="G257">
        <v>2</v>
      </c>
      <c r="H257">
        <v>500</v>
      </c>
      <c r="I257">
        <v>1000</v>
      </c>
    </row>
    <row r="258" spans="1:9" x14ac:dyDescent="0.25">
      <c r="A258">
        <v>257</v>
      </c>
      <c r="B258" s="1">
        <v>45756</v>
      </c>
      <c r="C258" t="s">
        <v>219</v>
      </c>
      <c r="D258" t="s">
        <v>12</v>
      </c>
      <c r="E258">
        <v>42</v>
      </c>
      <c r="F258" t="s">
        <v>10</v>
      </c>
      <c r="G258">
        <v>4</v>
      </c>
      <c r="H258">
        <v>500</v>
      </c>
      <c r="I258">
        <v>2000</v>
      </c>
    </row>
    <row r="259" spans="1:9" x14ac:dyDescent="0.25">
      <c r="A259">
        <v>258</v>
      </c>
      <c r="B259" s="1">
        <v>45756</v>
      </c>
      <c r="C259" t="s">
        <v>220</v>
      </c>
      <c r="D259" t="s">
        <v>12</v>
      </c>
      <c r="E259">
        <v>34</v>
      </c>
      <c r="F259" t="s">
        <v>13</v>
      </c>
      <c r="G259">
        <v>6</v>
      </c>
      <c r="H259">
        <v>50</v>
      </c>
      <c r="I259">
        <v>300</v>
      </c>
    </row>
    <row r="260" spans="1:9" x14ac:dyDescent="0.25">
      <c r="A260">
        <v>259</v>
      </c>
      <c r="B260" s="1">
        <v>45757</v>
      </c>
      <c r="C260" t="s">
        <v>221</v>
      </c>
      <c r="D260" t="s">
        <v>12</v>
      </c>
      <c r="E260">
        <v>30</v>
      </c>
      <c r="F260" t="s">
        <v>13</v>
      </c>
      <c r="G260">
        <v>4</v>
      </c>
      <c r="H260">
        <v>50</v>
      </c>
      <c r="I260">
        <v>200</v>
      </c>
    </row>
    <row r="261" spans="1:9" x14ac:dyDescent="0.25">
      <c r="A261">
        <v>260</v>
      </c>
      <c r="B261" s="1">
        <v>45757</v>
      </c>
      <c r="C261" t="s">
        <v>222</v>
      </c>
      <c r="D261" t="s">
        <v>9</v>
      </c>
      <c r="E261">
        <v>37</v>
      </c>
      <c r="F261" t="s">
        <v>10</v>
      </c>
      <c r="G261">
        <v>2</v>
      </c>
      <c r="H261">
        <v>30</v>
      </c>
      <c r="I261">
        <v>60</v>
      </c>
    </row>
    <row r="262" spans="1:9" x14ac:dyDescent="0.25">
      <c r="A262">
        <v>261</v>
      </c>
      <c r="B262" s="1">
        <v>45758</v>
      </c>
      <c r="C262" t="s">
        <v>223</v>
      </c>
      <c r="D262" t="s">
        <v>9</v>
      </c>
      <c r="E262">
        <v>42</v>
      </c>
      <c r="F262" t="s">
        <v>13</v>
      </c>
      <c r="G262">
        <v>2</v>
      </c>
      <c r="H262">
        <v>25</v>
      </c>
      <c r="I262">
        <v>50</v>
      </c>
    </row>
    <row r="263" spans="1:9" x14ac:dyDescent="0.25">
      <c r="A263">
        <v>262</v>
      </c>
      <c r="B263" s="1">
        <v>45759</v>
      </c>
      <c r="C263" t="s">
        <v>224</v>
      </c>
      <c r="D263" t="s">
        <v>9</v>
      </c>
      <c r="E263">
        <v>21</v>
      </c>
      <c r="F263" t="s">
        <v>10</v>
      </c>
      <c r="G263">
        <v>4</v>
      </c>
      <c r="H263">
        <v>30</v>
      </c>
      <c r="I263">
        <v>120</v>
      </c>
    </row>
    <row r="264" spans="1:9" x14ac:dyDescent="0.25">
      <c r="A264">
        <v>263</v>
      </c>
      <c r="B264" s="1">
        <v>45759</v>
      </c>
      <c r="C264" t="s">
        <v>225</v>
      </c>
      <c r="D264" t="s">
        <v>9</v>
      </c>
      <c r="E264">
        <v>27</v>
      </c>
      <c r="F264" t="s">
        <v>10</v>
      </c>
      <c r="G264">
        <v>2</v>
      </c>
      <c r="H264">
        <v>30</v>
      </c>
      <c r="I264">
        <v>60</v>
      </c>
    </row>
    <row r="265" spans="1:9" x14ac:dyDescent="0.25">
      <c r="A265">
        <v>264</v>
      </c>
      <c r="B265" s="1">
        <v>45759</v>
      </c>
      <c r="C265" t="s">
        <v>226</v>
      </c>
      <c r="D265" t="s">
        <v>9</v>
      </c>
      <c r="E265">
        <v>20</v>
      </c>
      <c r="F265" t="s">
        <v>13</v>
      </c>
      <c r="G265">
        <v>3</v>
      </c>
      <c r="H265">
        <v>300</v>
      </c>
      <c r="I265">
        <v>900</v>
      </c>
    </row>
    <row r="266" spans="1:9" x14ac:dyDescent="0.25">
      <c r="A266">
        <v>265</v>
      </c>
      <c r="B266" s="1">
        <v>45759</v>
      </c>
      <c r="C266" t="s">
        <v>227</v>
      </c>
      <c r="D266" t="s">
        <v>9</v>
      </c>
      <c r="E266">
        <v>58</v>
      </c>
      <c r="F266" t="s">
        <v>13</v>
      </c>
      <c r="G266">
        <v>3</v>
      </c>
      <c r="H266">
        <v>300</v>
      </c>
      <c r="I266">
        <v>900</v>
      </c>
    </row>
    <row r="267" spans="1:9" x14ac:dyDescent="0.25">
      <c r="A267">
        <v>266</v>
      </c>
      <c r="B267" s="1">
        <v>45759</v>
      </c>
      <c r="C267" t="s">
        <v>228</v>
      </c>
      <c r="D267" t="s">
        <v>9</v>
      </c>
      <c r="E267">
        <v>62</v>
      </c>
      <c r="F267" t="s">
        <v>15</v>
      </c>
      <c r="G267">
        <v>2</v>
      </c>
      <c r="H267">
        <v>30</v>
      </c>
      <c r="I267">
        <v>60</v>
      </c>
    </row>
    <row r="268" spans="1:9" x14ac:dyDescent="0.25">
      <c r="A268">
        <v>267</v>
      </c>
      <c r="B268" s="1">
        <v>45760</v>
      </c>
      <c r="C268" t="s">
        <v>229</v>
      </c>
      <c r="D268" t="s">
        <v>12</v>
      </c>
      <c r="E268">
        <v>35</v>
      </c>
      <c r="F268" t="s">
        <v>10</v>
      </c>
      <c r="G268">
        <v>3</v>
      </c>
      <c r="H268">
        <v>30</v>
      </c>
      <c r="I268">
        <v>90</v>
      </c>
    </row>
    <row r="269" spans="1:9" x14ac:dyDescent="0.25">
      <c r="A269">
        <v>268</v>
      </c>
      <c r="B269" s="1">
        <v>45760</v>
      </c>
      <c r="C269" t="s">
        <v>230</v>
      </c>
      <c r="D269" t="s">
        <v>9</v>
      </c>
      <c r="E269">
        <v>64</v>
      </c>
      <c r="F269" t="s">
        <v>15</v>
      </c>
      <c r="G269">
        <v>1</v>
      </c>
      <c r="H269">
        <v>30</v>
      </c>
      <c r="I269">
        <v>30</v>
      </c>
    </row>
    <row r="270" spans="1:9" x14ac:dyDescent="0.25">
      <c r="A270">
        <v>269</v>
      </c>
      <c r="B270" s="1">
        <v>45760</v>
      </c>
      <c r="C270" t="s">
        <v>231</v>
      </c>
      <c r="D270" t="s">
        <v>12</v>
      </c>
      <c r="E270">
        <v>53</v>
      </c>
      <c r="F270" t="s">
        <v>13</v>
      </c>
      <c r="G270">
        <v>4</v>
      </c>
      <c r="H270">
        <v>500</v>
      </c>
      <c r="I270">
        <v>2000</v>
      </c>
    </row>
    <row r="271" spans="1:9" x14ac:dyDescent="0.25">
      <c r="A271">
        <v>270</v>
      </c>
      <c r="B271" s="1">
        <v>45762</v>
      </c>
      <c r="C271" t="s">
        <v>232</v>
      </c>
      <c r="D271" t="s">
        <v>9</v>
      </c>
      <c r="E271">
        <v>64</v>
      </c>
      <c r="F271" t="s">
        <v>15</v>
      </c>
      <c r="G271">
        <v>1</v>
      </c>
      <c r="H271">
        <v>300</v>
      </c>
      <c r="I271">
        <v>300</v>
      </c>
    </row>
    <row r="272" spans="1:9" x14ac:dyDescent="0.25">
      <c r="A272">
        <v>271</v>
      </c>
      <c r="B272" s="1">
        <v>45762</v>
      </c>
      <c r="C272" t="s">
        <v>233</v>
      </c>
      <c r="D272" t="s">
        <v>9</v>
      </c>
      <c r="E272">
        <v>39</v>
      </c>
      <c r="F272" t="s">
        <v>10</v>
      </c>
      <c r="G272">
        <v>4</v>
      </c>
      <c r="H272">
        <v>30</v>
      </c>
      <c r="I272">
        <v>120</v>
      </c>
    </row>
    <row r="273" spans="1:9" x14ac:dyDescent="0.25">
      <c r="A273">
        <v>272</v>
      </c>
      <c r="B273" s="1">
        <v>45763</v>
      </c>
      <c r="C273" t="s">
        <v>234</v>
      </c>
      <c r="D273" t="s">
        <v>9</v>
      </c>
      <c r="E273">
        <v>51</v>
      </c>
      <c r="F273" t="s">
        <v>15</v>
      </c>
      <c r="G273">
        <v>2</v>
      </c>
      <c r="H273">
        <v>50</v>
      </c>
      <c r="I273">
        <v>100</v>
      </c>
    </row>
    <row r="274" spans="1:9" x14ac:dyDescent="0.25">
      <c r="A274">
        <v>273</v>
      </c>
      <c r="B274" s="1">
        <v>45764</v>
      </c>
      <c r="C274" t="s">
        <v>235</v>
      </c>
      <c r="D274" t="s">
        <v>12</v>
      </c>
      <c r="E274">
        <v>64</v>
      </c>
      <c r="F274" t="s">
        <v>10</v>
      </c>
      <c r="G274">
        <v>1</v>
      </c>
      <c r="H274">
        <v>50</v>
      </c>
      <c r="I274">
        <v>50</v>
      </c>
    </row>
    <row r="275" spans="1:9" x14ac:dyDescent="0.25">
      <c r="A275">
        <v>274</v>
      </c>
      <c r="B275" s="1">
        <v>45765</v>
      </c>
      <c r="C275" t="s">
        <v>236</v>
      </c>
      <c r="D275" t="s">
        <v>12</v>
      </c>
      <c r="E275">
        <v>25</v>
      </c>
      <c r="F275" t="s">
        <v>13</v>
      </c>
      <c r="G275">
        <v>2</v>
      </c>
      <c r="H275">
        <v>500</v>
      </c>
      <c r="I275">
        <v>1000</v>
      </c>
    </row>
    <row r="276" spans="1:9" x14ac:dyDescent="0.25">
      <c r="A276">
        <v>275</v>
      </c>
      <c r="B276" s="1">
        <v>45765</v>
      </c>
      <c r="C276" t="s">
        <v>237</v>
      </c>
      <c r="D276" t="s">
        <v>12</v>
      </c>
      <c r="E276">
        <v>57</v>
      </c>
      <c r="F276" t="s">
        <v>13</v>
      </c>
      <c r="G276">
        <v>2</v>
      </c>
      <c r="H276">
        <v>500</v>
      </c>
      <c r="I276">
        <v>1000</v>
      </c>
    </row>
    <row r="277" spans="1:9" x14ac:dyDescent="0.25">
      <c r="A277">
        <v>276</v>
      </c>
      <c r="B277" s="1">
        <v>45765</v>
      </c>
      <c r="C277" t="s">
        <v>238</v>
      </c>
      <c r="D277" t="s">
        <v>12</v>
      </c>
      <c r="E277">
        <v>61</v>
      </c>
      <c r="F277" t="s">
        <v>10</v>
      </c>
      <c r="G277">
        <v>4</v>
      </c>
      <c r="H277">
        <v>25</v>
      </c>
      <c r="I277">
        <v>100</v>
      </c>
    </row>
    <row r="278" spans="1:9" x14ac:dyDescent="0.25">
      <c r="A278">
        <v>277</v>
      </c>
      <c r="B278" s="1">
        <v>45765</v>
      </c>
      <c r="C278" t="s">
        <v>239</v>
      </c>
      <c r="D278" t="s">
        <v>9</v>
      </c>
      <c r="E278">
        <v>36</v>
      </c>
      <c r="F278" t="s">
        <v>13</v>
      </c>
      <c r="G278">
        <v>4</v>
      </c>
      <c r="H278">
        <v>25</v>
      </c>
      <c r="I278">
        <v>100</v>
      </c>
    </row>
    <row r="279" spans="1:9" x14ac:dyDescent="0.25">
      <c r="A279">
        <v>278</v>
      </c>
      <c r="B279" s="1">
        <v>45766</v>
      </c>
      <c r="C279" t="s">
        <v>240</v>
      </c>
      <c r="D279" t="s">
        <v>12</v>
      </c>
      <c r="E279">
        <v>59</v>
      </c>
      <c r="F279" t="s">
        <v>13</v>
      </c>
      <c r="G279">
        <v>4</v>
      </c>
      <c r="H279">
        <v>25</v>
      </c>
      <c r="I279">
        <v>100</v>
      </c>
    </row>
    <row r="280" spans="1:9" x14ac:dyDescent="0.25">
      <c r="A280">
        <v>279</v>
      </c>
      <c r="B280" s="1">
        <v>45766</v>
      </c>
      <c r="C280" t="s">
        <v>241</v>
      </c>
      <c r="D280" t="s">
        <v>9</v>
      </c>
      <c r="E280">
        <v>58</v>
      </c>
      <c r="F280" t="s">
        <v>13</v>
      </c>
      <c r="G280">
        <v>1</v>
      </c>
      <c r="H280">
        <v>500</v>
      </c>
      <c r="I280">
        <v>500</v>
      </c>
    </row>
    <row r="281" spans="1:9" x14ac:dyDescent="0.25">
      <c r="A281">
        <v>280</v>
      </c>
      <c r="B281" s="1">
        <v>45766</v>
      </c>
      <c r="C281" t="s">
        <v>242</v>
      </c>
      <c r="D281" t="s">
        <v>9</v>
      </c>
      <c r="E281">
        <v>54</v>
      </c>
      <c r="F281" t="s">
        <v>13</v>
      </c>
      <c r="G281">
        <v>3</v>
      </c>
      <c r="H281">
        <v>500</v>
      </c>
      <c r="I281">
        <v>1500</v>
      </c>
    </row>
    <row r="282" spans="1:9" x14ac:dyDescent="0.25">
      <c r="A282">
        <v>281</v>
      </c>
      <c r="B282" s="1">
        <v>45766</v>
      </c>
      <c r="C282" t="s">
        <v>243</v>
      </c>
      <c r="D282" t="s">
        <v>12</v>
      </c>
      <c r="E282">
        <v>23</v>
      </c>
      <c r="F282" t="s">
        <v>10</v>
      </c>
      <c r="G282">
        <v>4</v>
      </c>
      <c r="H282">
        <v>500</v>
      </c>
      <c r="I282">
        <v>2000</v>
      </c>
    </row>
    <row r="283" spans="1:9" x14ac:dyDescent="0.25">
      <c r="A283">
        <v>282</v>
      </c>
      <c r="B283" s="1">
        <v>45766</v>
      </c>
      <c r="C283" t="s">
        <v>244</v>
      </c>
      <c r="D283" t="s">
        <v>12</v>
      </c>
      <c r="E283">
        <v>43</v>
      </c>
      <c r="F283" t="s">
        <v>15</v>
      </c>
      <c r="G283">
        <v>4</v>
      </c>
      <c r="H283">
        <v>50</v>
      </c>
      <c r="I283">
        <v>200</v>
      </c>
    </row>
    <row r="284" spans="1:9" x14ac:dyDescent="0.25">
      <c r="A284">
        <v>283</v>
      </c>
      <c r="B284" s="1">
        <v>45766</v>
      </c>
      <c r="C284" t="s">
        <v>245</v>
      </c>
      <c r="D284" t="s">
        <v>12</v>
      </c>
      <c r="E284">
        <v>51</v>
      </c>
      <c r="F284" t="s">
        <v>15</v>
      </c>
      <c r="G284">
        <v>1</v>
      </c>
      <c r="H284">
        <v>500</v>
      </c>
      <c r="I284">
        <v>500</v>
      </c>
    </row>
    <row r="285" spans="1:9" x14ac:dyDescent="0.25">
      <c r="A285">
        <v>284</v>
      </c>
      <c r="B285" s="1">
        <v>45767</v>
      </c>
      <c r="C285" t="s">
        <v>246</v>
      </c>
      <c r="D285" t="s">
        <v>12</v>
      </c>
      <c r="E285">
        <v>62</v>
      </c>
      <c r="F285" t="s">
        <v>13</v>
      </c>
      <c r="G285">
        <v>4</v>
      </c>
      <c r="H285">
        <v>50</v>
      </c>
      <c r="I285">
        <v>200</v>
      </c>
    </row>
    <row r="286" spans="1:9" x14ac:dyDescent="0.25">
      <c r="A286">
        <v>285</v>
      </c>
      <c r="B286" s="1">
        <v>45767</v>
      </c>
      <c r="C286" t="s">
        <v>247</v>
      </c>
      <c r="D286" t="s">
        <v>12</v>
      </c>
      <c r="E286">
        <v>23</v>
      </c>
      <c r="F286" t="s">
        <v>15</v>
      </c>
      <c r="G286">
        <v>1</v>
      </c>
      <c r="H286">
        <v>25</v>
      </c>
      <c r="I286">
        <v>25</v>
      </c>
    </row>
    <row r="287" spans="1:9" x14ac:dyDescent="0.25">
      <c r="A287">
        <v>286</v>
      </c>
      <c r="B287" s="1">
        <v>45767</v>
      </c>
      <c r="C287" t="s">
        <v>248</v>
      </c>
      <c r="D287" t="s">
        <v>12</v>
      </c>
      <c r="E287">
        <v>54</v>
      </c>
      <c r="F287" t="s">
        <v>15</v>
      </c>
      <c r="G287">
        <v>2</v>
      </c>
      <c r="H287">
        <v>25</v>
      </c>
      <c r="I287">
        <v>50</v>
      </c>
    </row>
    <row r="288" spans="1:9" x14ac:dyDescent="0.25">
      <c r="A288">
        <v>287</v>
      </c>
      <c r="B288" s="1">
        <v>45767</v>
      </c>
      <c r="C288" t="s">
        <v>249</v>
      </c>
      <c r="D288" t="s">
        <v>12</v>
      </c>
      <c r="E288">
        <v>50</v>
      </c>
      <c r="F288" t="s">
        <v>13</v>
      </c>
      <c r="G288">
        <v>4</v>
      </c>
      <c r="H288">
        <v>25</v>
      </c>
      <c r="I288">
        <v>100</v>
      </c>
    </row>
    <row r="289" spans="1:9" x14ac:dyDescent="0.25">
      <c r="A289">
        <v>288</v>
      </c>
      <c r="B289" s="1">
        <v>45767</v>
      </c>
      <c r="C289" t="s">
        <v>250</v>
      </c>
      <c r="D289" t="s">
        <v>12</v>
      </c>
      <c r="E289">
        <v>39</v>
      </c>
      <c r="F289" t="s">
        <v>13</v>
      </c>
      <c r="G289">
        <v>4</v>
      </c>
      <c r="H289">
        <v>30</v>
      </c>
      <c r="I289">
        <v>120</v>
      </c>
    </row>
    <row r="290" spans="1:9" x14ac:dyDescent="0.25">
      <c r="A290">
        <v>289</v>
      </c>
      <c r="B290" s="1">
        <v>45768</v>
      </c>
      <c r="C290" t="s">
        <v>251</v>
      </c>
      <c r="D290" t="s">
        <v>9</v>
      </c>
      <c r="E290">
        <v>38</v>
      </c>
      <c r="F290" t="s">
        <v>15</v>
      </c>
      <c r="G290">
        <v>2</v>
      </c>
      <c r="H290">
        <v>30</v>
      </c>
      <c r="I290">
        <v>60</v>
      </c>
    </row>
    <row r="291" spans="1:9" x14ac:dyDescent="0.25">
      <c r="A291">
        <v>290</v>
      </c>
      <c r="B291" s="1">
        <v>45768</v>
      </c>
      <c r="C291" t="s">
        <v>252</v>
      </c>
      <c r="D291" t="s">
        <v>12</v>
      </c>
      <c r="E291">
        <v>23</v>
      </c>
      <c r="F291" t="s">
        <v>10</v>
      </c>
      <c r="G291">
        <v>2</v>
      </c>
      <c r="H291">
        <v>300</v>
      </c>
      <c r="I291">
        <v>600</v>
      </c>
    </row>
    <row r="292" spans="1:9" x14ac:dyDescent="0.25">
      <c r="A292">
        <v>291</v>
      </c>
      <c r="B292" s="1">
        <v>45769</v>
      </c>
      <c r="C292" t="s">
        <v>253</v>
      </c>
      <c r="D292" t="s">
        <v>12</v>
      </c>
      <c r="E292">
        <v>23</v>
      </c>
      <c r="F292" t="s">
        <v>13</v>
      </c>
      <c r="G292">
        <v>2</v>
      </c>
      <c r="H292">
        <v>300</v>
      </c>
      <c r="I292">
        <v>600</v>
      </c>
    </row>
    <row r="293" spans="1:9" x14ac:dyDescent="0.25">
      <c r="A293">
        <v>292</v>
      </c>
      <c r="B293" s="1">
        <v>45769</v>
      </c>
      <c r="C293" t="s">
        <v>254</v>
      </c>
      <c r="D293" t="s">
        <v>9</v>
      </c>
      <c r="E293">
        <v>21</v>
      </c>
      <c r="F293" t="s">
        <v>10</v>
      </c>
      <c r="G293">
        <v>4</v>
      </c>
      <c r="H293">
        <v>300</v>
      </c>
      <c r="I293">
        <v>1200</v>
      </c>
    </row>
    <row r="294" spans="1:9" x14ac:dyDescent="0.25">
      <c r="A294">
        <v>293</v>
      </c>
      <c r="B294" s="1">
        <v>45769</v>
      </c>
      <c r="C294" t="s">
        <v>255</v>
      </c>
      <c r="D294" t="s">
        <v>12</v>
      </c>
      <c r="E294">
        <v>47</v>
      </c>
      <c r="F294" t="s">
        <v>15</v>
      </c>
      <c r="G294">
        <v>3</v>
      </c>
      <c r="H294">
        <v>30</v>
      </c>
      <c r="I294">
        <v>90</v>
      </c>
    </row>
    <row r="295" spans="1:9" x14ac:dyDescent="0.25">
      <c r="A295">
        <v>294</v>
      </c>
      <c r="B295" s="1">
        <v>45770</v>
      </c>
      <c r="C295" t="s">
        <v>256</v>
      </c>
      <c r="D295" t="s">
        <v>9</v>
      </c>
      <c r="E295">
        <v>28</v>
      </c>
      <c r="F295" t="s">
        <v>13</v>
      </c>
      <c r="G295">
        <v>3</v>
      </c>
      <c r="H295">
        <v>30</v>
      </c>
      <c r="I295">
        <v>90</v>
      </c>
    </row>
    <row r="296" spans="1:9" x14ac:dyDescent="0.25">
      <c r="A296">
        <v>295</v>
      </c>
      <c r="B296" s="1">
        <v>45770</v>
      </c>
      <c r="C296" t="s">
        <v>257</v>
      </c>
      <c r="D296" t="s">
        <v>9</v>
      </c>
      <c r="E296">
        <v>47</v>
      </c>
      <c r="F296" t="s">
        <v>10</v>
      </c>
      <c r="G296">
        <v>3</v>
      </c>
      <c r="H296">
        <v>300</v>
      </c>
      <c r="I296">
        <v>900</v>
      </c>
    </row>
    <row r="297" spans="1:9" x14ac:dyDescent="0.25">
      <c r="A297">
        <v>296</v>
      </c>
      <c r="B297" s="1">
        <v>45770</v>
      </c>
      <c r="C297" t="s">
        <v>258</v>
      </c>
      <c r="D297" t="s">
        <v>12</v>
      </c>
      <c r="E297">
        <v>48</v>
      </c>
      <c r="F297" t="s">
        <v>13</v>
      </c>
      <c r="G297">
        <v>4</v>
      </c>
      <c r="H297">
        <v>300</v>
      </c>
      <c r="I297">
        <v>1200</v>
      </c>
    </row>
    <row r="298" spans="1:9" x14ac:dyDescent="0.25">
      <c r="A298">
        <v>297</v>
      </c>
      <c r="B298" s="1">
        <v>45770</v>
      </c>
      <c r="C298" t="s">
        <v>259</v>
      </c>
      <c r="D298" t="s">
        <v>9</v>
      </c>
      <c r="E298">
        <v>41</v>
      </c>
      <c r="F298" t="s">
        <v>15</v>
      </c>
      <c r="G298">
        <v>2</v>
      </c>
      <c r="H298">
        <v>500</v>
      </c>
      <c r="I298">
        <v>1000</v>
      </c>
    </row>
    <row r="299" spans="1:9" x14ac:dyDescent="0.25">
      <c r="A299">
        <v>298</v>
      </c>
      <c r="B299" s="1">
        <v>45770</v>
      </c>
      <c r="C299" t="s">
        <v>260</v>
      </c>
      <c r="D299" t="s">
        <v>9</v>
      </c>
      <c r="E299">
        <v>26</v>
      </c>
      <c r="F299" t="s">
        <v>10</v>
      </c>
      <c r="G299">
        <v>4</v>
      </c>
      <c r="H299">
        <v>300</v>
      </c>
      <c r="I299">
        <v>1200</v>
      </c>
    </row>
    <row r="300" spans="1:9" x14ac:dyDescent="0.25">
      <c r="A300">
        <v>299</v>
      </c>
      <c r="B300" s="1">
        <v>45770</v>
      </c>
      <c r="C300" t="s">
        <v>261</v>
      </c>
      <c r="D300" t="s">
        <v>9</v>
      </c>
      <c r="E300">
        <v>20</v>
      </c>
      <c r="F300" t="s">
        <v>15</v>
      </c>
      <c r="G300">
        <v>2</v>
      </c>
      <c r="H300">
        <v>500</v>
      </c>
      <c r="I300">
        <v>1000</v>
      </c>
    </row>
    <row r="301" spans="1:9" x14ac:dyDescent="0.25">
      <c r="A301">
        <v>300</v>
      </c>
      <c r="B301" s="1">
        <v>45770</v>
      </c>
      <c r="C301" t="s">
        <v>262</v>
      </c>
      <c r="D301" t="s">
        <v>9</v>
      </c>
      <c r="E301">
        <v>48</v>
      </c>
      <c r="F301" t="s">
        <v>15</v>
      </c>
      <c r="G301">
        <v>4</v>
      </c>
      <c r="H301">
        <v>50</v>
      </c>
      <c r="I301">
        <v>200</v>
      </c>
    </row>
    <row r="302" spans="1:9" x14ac:dyDescent="0.25">
      <c r="A302">
        <v>301</v>
      </c>
      <c r="B302" s="1">
        <v>45771</v>
      </c>
      <c r="C302" t="s">
        <v>263</v>
      </c>
      <c r="D302" t="s">
        <v>12</v>
      </c>
      <c r="E302">
        <v>57</v>
      </c>
      <c r="F302" t="s">
        <v>13</v>
      </c>
      <c r="G302">
        <v>4</v>
      </c>
      <c r="H302">
        <v>30</v>
      </c>
      <c r="I302">
        <v>120</v>
      </c>
    </row>
    <row r="303" spans="1:9" x14ac:dyDescent="0.25">
      <c r="A303">
        <v>302</v>
      </c>
      <c r="B303" s="1">
        <v>45771</v>
      </c>
      <c r="C303" t="s">
        <v>264</v>
      </c>
      <c r="D303" t="s">
        <v>9</v>
      </c>
      <c r="E303">
        <v>54</v>
      </c>
      <c r="F303" t="s">
        <v>10</v>
      </c>
      <c r="G303">
        <v>2</v>
      </c>
      <c r="H303">
        <v>300</v>
      </c>
      <c r="I303">
        <v>600</v>
      </c>
    </row>
    <row r="304" spans="1:9" x14ac:dyDescent="0.25">
      <c r="A304">
        <v>303</v>
      </c>
      <c r="B304" s="1">
        <v>45772</v>
      </c>
      <c r="C304" t="s">
        <v>265</v>
      </c>
      <c r="D304" t="s">
        <v>12</v>
      </c>
      <c r="E304">
        <v>53</v>
      </c>
      <c r="F304" t="s">
        <v>15</v>
      </c>
      <c r="G304">
        <v>3</v>
      </c>
      <c r="H304">
        <v>30</v>
      </c>
      <c r="I304">
        <v>90</v>
      </c>
    </row>
    <row r="305" spans="1:9" x14ac:dyDescent="0.25">
      <c r="A305">
        <v>304</v>
      </c>
      <c r="B305" s="1">
        <v>45772</v>
      </c>
      <c r="C305" t="s">
        <v>266</v>
      </c>
      <c r="D305" t="s">
        <v>9</v>
      </c>
      <c r="E305">
        <v>41</v>
      </c>
      <c r="F305" t="s">
        <v>15</v>
      </c>
      <c r="G305">
        <v>2</v>
      </c>
      <c r="H305">
        <v>30</v>
      </c>
      <c r="I305">
        <v>60</v>
      </c>
    </row>
    <row r="306" spans="1:9" x14ac:dyDescent="0.25">
      <c r="A306">
        <v>305</v>
      </c>
      <c r="B306" s="1">
        <v>45772</v>
      </c>
      <c r="C306" t="s">
        <v>267</v>
      </c>
      <c r="D306" t="s">
        <v>9</v>
      </c>
      <c r="E306">
        <v>48</v>
      </c>
      <c r="F306" t="s">
        <v>10</v>
      </c>
      <c r="G306">
        <v>1</v>
      </c>
      <c r="H306">
        <v>30</v>
      </c>
      <c r="I306">
        <v>30</v>
      </c>
    </row>
    <row r="307" spans="1:9" x14ac:dyDescent="0.25">
      <c r="A307">
        <v>306</v>
      </c>
      <c r="B307" s="1">
        <v>45773</v>
      </c>
      <c r="C307" t="s">
        <v>268</v>
      </c>
      <c r="D307" t="s">
        <v>9</v>
      </c>
      <c r="E307">
        <v>23</v>
      </c>
      <c r="F307" t="s">
        <v>15</v>
      </c>
      <c r="G307">
        <v>1</v>
      </c>
      <c r="H307">
        <v>50</v>
      </c>
      <c r="I307">
        <v>50</v>
      </c>
    </row>
    <row r="308" spans="1:9" x14ac:dyDescent="0.25">
      <c r="A308">
        <v>307</v>
      </c>
      <c r="B308" s="1">
        <v>45773</v>
      </c>
      <c r="C308" t="s">
        <v>269</v>
      </c>
      <c r="D308" t="s">
        <v>9</v>
      </c>
      <c r="E308">
        <v>19</v>
      </c>
      <c r="F308" t="s">
        <v>15</v>
      </c>
      <c r="G308">
        <v>2</v>
      </c>
      <c r="H308">
        <v>25</v>
      </c>
      <c r="I308">
        <v>50</v>
      </c>
    </row>
    <row r="309" spans="1:9" x14ac:dyDescent="0.25">
      <c r="A309">
        <v>308</v>
      </c>
      <c r="B309" s="1">
        <v>45773</v>
      </c>
      <c r="C309" t="s">
        <v>270</v>
      </c>
      <c r="D309" t="s">
        <v>12</v>
      </c>
      <c r="E309">
        <v>37</v>
      </c>
      <c r="F309" t="s">
        <v>10</v>
      </c>
      <c r="G309">
        <v>4</v>
      </c>
      <c r="H309">
        <v>300</v>
      </c>
      <c r="I309">
        <v>1200</v>
      </c>
    </row>
    <row r="310" spans="1:9" x14ac:dyDescent="0.25">
      <c r="A310">
        <v>309</v>
      </c>
      <c r="B310" s="1">
        <v>45774</v>
      </c>
      <c r="C310" t="s">
        <v>271</v>
      </c>
      <c r="D310" t="s">
        <v>12</v>
      </c>
      <c r="E310">
        <v>45</v>
      </c>
      <c r="F310" t="s">
        <v>10</v>
      </c>
      <c r="G310">
        <v>1</v>
      </c>
      <c r="H310">
        <v>25</v>
      </c>
      <c r="I310">
        <v>25</v>
      </c>
    </row>
    <row r="311" spans="1:9" x14ac:dyDescent="0.25">
      <c r="A311">
        <v>310</v>
      </c>
      <c r="B311" s="1">
        <v>45774</v>
      </c>
      <c r="C311" t="s">
        <v>272</v>
      </c>
      <c r="D311" t="s">
        <v>9</v>
      </c>
      <c r="E311">
        <v>28</v>
      </c>
      <c r="F311" t="s">
        <v>10</v>
      </c>
      <c r="G311">
        <v>1</v>
      </c>
      <c r="H311">
        <v>25</v>
      </c>
      <c r="I311">
        <v>25</v>
      </c>
    </row>
    <row r="312" spans="1:9" x14ac:dyDescent="0.25">
      <c r="A312">
        <v>311</v>
      </c>
      <c r="B312" s="1">
        <v>45774</v>
      </c>
      <c r="C312" t="s">
        <v>273</v>
      </c>
      <c r="D312" t="s">
        <v>9</v>
      </c>
      <c r="E312">
        <v>21</v>
      </c>
      <c r="F312" t="s">
        <v>10</v>
      </c>
      <c r="G312">
        <v>4</v>
      </c>
      <c r="H312">
        <v>25</v>
      </c>
      <c r="I312">
        <v>100</v>
      </c>
    </row>
    <row r="313" spans="1:9" x14ac:dyDescent="0.25">
      <c r="A313">
        <v>312</v>
      </c>
      <c r="B313" s="1">
        <v>45775</v>
      </c>
      <c r="C313" t="s">
        <v>274</v>
      </c>
      <c r="D313" t="s">
        <v>12</v>
      </c>
      <c r="E313">
        <v>32</v>
      </c>
      <c r="F313" t="s">
        <v>13</v>
      </c>
      <c r="G313">
        <v>4</v>
      </c>
      <c r="H313">
        <v>30</v>
      </c>
      <c r="I313">
        <v>120</v>
      </c>
    </row>
    <row r="314" spans="1:9" x14ac:dyDescent="0.25">
      <c r="A314">
        <v>313</v>
      </c>
      <c r="B314" s="1">
        <v>45775</v>
      </c>
      <c r="C314" t="s">
        <v>275</v>
      </c>
      <c r="D314" t="s">
        <v>9</v>
      </c>
      <c r="E314">
        <v>23</v>
      </c>
      <c r="F314" t="s">
        <v>10</v>
      </c>
      <c r="G314">
        <v>3</v>
      </c>
      <c r="H314">
        <v>500</v>
      </c>
      <c r="I314">
        <v>1500</v>
      </c>
    </row>
    <row r="315" spans="1:9" x14ac:dyDescent="0.25">
      <c r="A315">
        <v>314</v>
      </c>
      <c r="B315" s="1">
        <v>45775</v>
      </c>
      <c r="C315" t="s">
        <v>276</v>
      </c>
      <c r="D315" t="s">
        <v>9</v>
      </c>
      <c r="E315">
        <v>47</v>
      </c>
      <c r="F315" t="s">
        <v>13</v>
      </c>
      <c r="G315">
        <v>4</v>
      </c>
      <c r="H315">
        <v>30</v>
      </c>
      <c r="I315">
        <v>120</v>
      </c>
    </row>
    <row r="316" spans="1:9" x14ac:dyDescent="0.25">
      <c r="A316">
        <v>315</v>
      </c>
      <c r="B316" s="1">
        <v>45776</v>
      </c>
      <c r="C316" t="s">
        <v>277</v>
      </c>
      <c r="D316" t="s">
        <v>9</v>
      </c>
      <c r="E316">
        <v>55</v>
      </c>
      <c r="F316" t="s">
        <v>13</v>
      </c>
      <c r="G316">
        <v>2</v>
      </c>
      <c r="H316">
        <v>30</v>
      </c>
      <c r="I316">
        <v>60</v>
      </c>
    </row>
    <row r="317" spans="1:9" x14ac:dyDescent="0.25">
      <c r="A317">
        <v>316</v>
      </c>
      <c r="B317" s="1">
        <v>45776</v>
      </c>
      <c r="C317" t="s">
        <v>278</v>
      </c>
      <c r="D317" t="s">
        <v>12</v>
      </c>
      <c r="E317">
        <v>19</v>
      </c>
      <c r="F317" t="s">
        <v>13</v>
      </c>
      <c r="G317">
        <v>2</v>
      </c>
      <c r="H317">
        <v>25</v>
      </c>
      <c r="I317">
        <v>50</v>
      </c>
    </row>
    <row r="318" spans="1:9" x14ac:dyDescent="0.25">
      <c r="A318">
        <v>317</v>
      </c>
      <c r="B318" s="1">
        <v>45776</v>
      </c>
      <c r="C318" t="s">
        <v>279</v>
      </c>
      <c r="D318" t="s">
        <v>12</v>
      </c>
      <c r="E318">
        <v>32</v>
      </c>
      <c r="F318" t="s">
        <v>15</v>
      </c>
      <c r="G318">
        <v>3</v>
      </c>
      <c r="H318">
        <v>30</v>
      </c>
      <c r="I318">
        <v>90</v>
      </c>
    </row>
    <row r="319" spans="1:9" x14ac:dyDescent="0.25">
      <c r="A319">
        <v>318</v>
      </c>
      <c r="B319" s="1">
        <v>45777</v>
      </c>
      <c r="C319" t="s">
        <v>280</v>
      </c>
      <c r="D319" t="s">
        <v>12</v>
      </c>
      <c r="E319">
        <v>28</v>
      </c>
      <c r="F319" t="s">
        <v>13</v>
      </c>
      <c r="G319">
        <v>1</v>
      </c>
      <c r="H319">
        <v>25</v>
      </c>
      <c r="I319">
        <v>25</v>
      </c>
    </row>
    <row r="320" spans="1:9" x14ac:dyDescent="0.25">
      <c r="A320">
        <v>319</v>
      </c>
      <c r="B320" s="1">
        <v>45777</v>
      </c>
      <c r="C320" t="s">
        <v>281</v>
      </c>
      <c r="D320" t="s">
        <v>9</v>
      </c>
      <c r="E320">
        <v>25</v>
      </c>
      <c r="F320" t="s">
        <v>13</v>
      </c>
      <c r="G320">
        <v>1</v>
      </c>
      <c r="H320">
        <v>500</v>
      </c>
      <c r="I320">
        <v>500</v>
      </c>
    </row>
    <row r="321" spans="1:9" x14ac:dyDescent="0.25">
      <c r="A321">
        <v>320</v>
      </c>
      <c r="B321" s="1">
        <v>45777</v>
      </c>
      <c r="C321" t="s">
        <v>282</v>
      </c>
      <c r="D321" t="s">
        <v>9</v>
      </c>
      <c r="E321">
        <v>43</v>
      </c>
      <c r="F321" t="s">
        <v>15</v>
      </c>
      <c r="G321">
        <v>4</v>
      </c>
      <c r="H321">
        <v>300</v>
      </c>
      <c r="I321">
        <v>1200</v>
      </c>
    </row>
    <row r="322" spans="1:9" x14ac:dyDescent="0.25">
      <c r="A322">
        <v>321</v>
      </c>
      <c r="B322" s="1">
        <v>45778</v>
      </c>
      <c r="C322" t="s">
        <v>283</v>
      </c>
      <c r="D322" t="s">
        <v>12</v>
      </c>
      <c r="E322">
        <v>62</v>
      </c>
      <c r="F322" t="s">
        <v>15</v>
      </c>
      <c r="G322">
        <v>2</v>
      </c>
      <c r="H322">
        <v>25</v>
      </c>
      <c r="I322">
        <v>50</v>
      </c>
    </row>
    <row r="323" spans="1:9" x14ac:dyDescent="0.25">
      <c r="A323">
        <v>322</v>
      </c>
      <c r="B323" s="1">
        <v>45778</v>
      </c>
      <c r="C323" t="s">
        <v>284</v>
      </c>
      <c r="D323" t="s">
        <v>12</v>
      </c>
      <c r="E323">
        <v>61</v>
      </c>
      <c r="F323" t="s">
        <v>15</v>
      </c>
      <c r="G323">
        <v>1</v>
      </c>
      <c r="H323">
        <v>500</v>
      </c>
      <c r="I323">
        <v>500</v>
      </c>
    </row>
    <row r="324" spans="1:9" x14ac:dyDescent="0.25">
      <c r="A324">
        <v>323</v>
      </c>
      <c r="B324" s="1">
        <v>45778</v>
      </c>
      <c r="C324" t="s">
        <v>285</v>
      </c>
      <c r="D324" t="s">
        <v>12</v>
      </c>
      <c r="E324">
        <v>22</v>
      </c>
      <c r="F324" t="s">
        <v>10</v>
      </c>
      <c r="G324">
        <v>3</v>
      </c>
      <c r="H324">
        <v>300</v>
      </c>
      <c r="I324">
        <v>900</v>
      </c>
    </row>
    <row r="325" spans="1:9" x14ac:dyDescent="0.25">
      <c r="A325">
        <v>324</v>
      </c>
      <c r="B325" s="1">
        <v>45779</v>
      </c>
      <c r="C325" t="s">
        <v>286</v>
      </c>
      <c r="D325" t="s">
        <v>12</v>
      </c>
      <c r="E325">
        <v>23</v>
      </c>
      <c r="F325" t="s">
        <v>15</v>
      </c>
      <c r="G325">
        <v>3</v>
      </c>
      <c r="H325">
        <v>50</v>
      </c>
      <c r="I325">
        <v>150</v>
      </c>
    </row>
    <row r="326" spans="1:9" x14ac:dyDescent="0.25">
      <c r="A326">
        <v>325</v>
      </c>
      <c r="B326" s="1">
        <v>45779</v>
      </c>
      <c r="C326" t="s">
        <v>287</v>
      </c>
      <c r="D326" t="s">
        <v>9</v>
      </c>
      <c r="E326">
        <v>43</v>
      </c>
      <c r="F326" t="s">
        <v>15</v>
      </c>
      <c r="G326">
        <v>2</v>
      </c>
      <c r="H326">
        <v>25</v>
      </c>
      <c r="I326">
        <v>50</v>
      </c>
    </row>
    <row r="327" spans="1:9" x14ac:dyDescent="0.25">
      <c r="A327">
        <v>326</v>
      </c>
      <c r="B327" s="1">
        <v>45779</v>
      </c>
      <c r="C327" t="s">
        <v>288</v>
      </c>
      <c r="D327" t="s">
        <v>12</v>
      </c>
      <c r="E327">
        <v>21</v>
      </c>
      <c r="F327" t="s">
        <v>13</v>
      </c>
      <c r="G327">
        <v>3</v>
      </c>
      <c r="H327">
        <v>25</v>
      </c>
      <c r="I327">
        <v>75</v>
      </c>
    </row>
    <row r="328" spans="1:9" x14ac:dyDescent="0.25">
      <c r="A328">
        <v>327</v>
      </c>
      <c r="B328" s="1">
        <v>45780</v>
      </c>
      <c r="C328" t="s">
        <v>289</v>
      </c>
      <c r="D328" t="s">
        <v>9</v>
      </c>
      <c r="E328">
        <v>36</v>
      </c>
      <c r="F328" t="s">
        <v>15</v>
      </c>
      <c r="G328">
        <v>3</v>
      </c>
      <c r="H328">
        <v>50</v>
      </c>
      <c r="I328">
        <v>150</v>
      </c>
    </row>
    <row r="329" spans="1:9" x14ac:dyDescent="0.25">
      <c r="A329">
        <v>328</v>
      </c>
      <c r="B329" s="1">
        <v>45780</v>
      </c>
      <c r="C329" t="s">
        <v>290</v>
      </c>
      <c r="D329" t="s">
        <v>12</v>
      </c>
      <c r="E329">
        <v>37</v>
      </c>
      <c r="F329" t="s">
        <v>10</v>
      </c>
      <c r="G329">
        <v>2</v>
      </c>
      <c r="H329">
        <v>50</v>
      </c>
      <c r="I329">
        <v>100</v>
      </c>
    </row>
    <row r="330" spans="1:9" x14ac:dyDescent="0.25">
      <c r="A330">
        <v>329</v>
      </c>
      <c r="B330" s="1">
        <v>45780</v>
      </c>
      <c r="C330" t="s">
        <v>291</v>
      </c>
      <c r="D330" t="s">
        <v>9</v>
      </c>
      <c r="E330">
        <v>50</v>
      </c>
      <c r="F330" t="s">
        <v>15</v>
      </c>
      <c r="G330">
        <v>4</v>
      </c>
      <c r="H330">
        <v>25</v>
      </c>
      <c r="I330">
        <v>100</v>
      </c>
    </row>
    <row r="331" spans="1:9" x14ac:dyDescent="0.25">
      <c r="A331">
        <v>330</v>
      </c>
      <c r="B331" s="1">
        <v>45780</v>
      </c>
      <c r="C331" t="s">
        <v>292</v>
      </c>
      <c r="D331" t="s">
        <v>12</v>
      </c>
      <c r="E331">
        <v>37</v>
      </c>
      <c r="F331" t="s">
        <v>10</v>
      </c>
      <c r="G331">
        <v>4</v>
      </c>
      <c r="H331">
        <v>50</v>
      </c>
      <c r="I331">
        <v>200</v>
      </c>
    </row>
    <row r="332" spans="1:9" x14ac:dyDescent="0.25">
      <c r="A332">
        <v>331</v>
      </c>
      <c r="B332" s="1">
        <v>45780</v>
      </c>
      <c r="C332" t="s">
        <v>293</v>
      </c>
      <c r="D332" t="s">
        <v>12</v>
      </c>
      <c r="E332">
        <v>29</v>
      </c>
      <c r="F332" t="s">
        <v>15</v>
      </c>
      <c r="G332">
        <v>3</v>
      </c>
      <c r="H332">
        <v>30</v>
      </c>
      <c r="I332">
        <v>90</v>
      </c>
    </row>
    <row r="333" spans="1:9" x14ac:dyDescent="0.25">
      <c r="A333">
        <v>332</v>
      </c>
      <c r="B333" s="1">
        <v>45781</v>
      </c>
      <c r="C333" t="s">
        <v>294</v>
      </c>
      <c r="D333" t="s">
        <v>12</v>
      </c>
      <c r="E333">
        <v>64</v>
      </c>
      <c r="F333" t="s">
        <v>15</v>
      </c>
      <c r="G333">
        <v>4</v>
      </c>
      <c r="H333">
        <v>300</v>
      </c>
      <c r="I333">
        <v>1200</v>
      </c>
    </row>
    <row r="334" spans="1:9" x14ac:dyDescent="0.25">
      <c r="A334">
        <v>333</v>
      </c>
      <c r="B334" s="1">
        <v>45781</v>
      </c>
      <c r="C334" t="s">
        <v>295</v>
      </c>
      <c r="D334" t="s">
        <v>12</v>
      </c>
      <c r="E334">
        <v>18</v>
      </c>
      <c r="F334" t="s">
        <v>15</v>
      </c>
      <c r="G334">
        <v>4</v>
      </c>
      <c r="H334">
        <v>300</v>
      </c>
      <c r="I334">
        <v>1200</v>
      </c>
    </row>
    <row r="335" spans="1:9" x14ac:dyDescent="0.25">
      <c r="A335">
        <v>334</v>
      </c>
      <c r="B335" s="1">
        <v>45781</v>
      </c>
      <c r="C335" t="s">
        <v>296</v>
      </c>
      <c r="D335" t="s">
        <v>9</v>
      </c>
      <c r="E335">
        <v>43</v>
      </c>
      <c r="F335" t="s">
        <v>15</v>
      </c>
      <c r="G335">
        <v>3</v>
      </c>
      <c r="H335">
        <v>300</v>
      </c>
      <c r="I335">
        <v>900</v>
      </c>
    </row>
    <row r="336" spans="1:9" x14ac:dyDescent="0.25">
      <c r="A336">
        <v>335</v>
      </c>
      <c r="B336" s="1">
        <v>45782</v>
      </c>
      <c r="C336" t="s">
        <v>297</v>
      </c>
      <c r="D336" t="s">
        <v>12</v>
      </c>
      <c r="E336">
        <v>31</v>
      </c>
      <c r="F336" t="s">
        <v>10</v>
      </c>
      <c r="G336">
        <v>4</v>
      </c>
      <c r="H336">
        <v>30</v>
      </c>
      <c r="I336">
        <v>120</v>
      </c>
    </row>
    <row r="337" spans="1:9" x14ac:dyDescent="0.25">
      <c r="A337">
        <v>336</v>
      </c>
      <c r="B337" s="1">
        <v>45782</v>
      </c>
      <c r="C337" t="s">
        <v>298</v>
      </c>
      <c r="D337" t="s">
        <v>9</v>
      </c>
      <c r="E337">
        <v>55</v>
      </c>
      <c r="F337" t="s">
        <v>10</v>
      </c>
      <c r="G337">
        <v>3</v>
      </c>
      <c r="H337">
        <v>50</v>
      </c>
      <c r="I337">
        <v>150</v>
      </c>
    </row>
    <row r="338" spans="1:9" x14ac:dyDescent="0.25">
      <c r="A338">
        <v>337</v>
      </c>
      <c r="B338" s="1">
        <v>45782</v>
      </c>
      <c r="C338" t="s">
        <v>299</v>
      </c>
      <c r="D338" t="s">
        <v>9</v>
      </c>
      <c r="E338">
        <v>54</v>
      </c>
      <c r="F338" t="s">
        <v>13</v>
      </c>
      <c r="G338">
        <v>1</v>
      </c>
      <c r="H338">
        <v>500</v>
      </c>
      <c r="I338">
        <v>500</v>
      </c>
    </row>
    <row r="339" spans="1:9" x14ac:dyDescent="0.25">
      <c r="A339">
        <v>338</v>
      </c>
      <c r="B339" s="1">
        <v>45782</v>
      </c>
      <c r="C339" t="s">
        <v>300</v>
      </c>
      <c r="D339" t="s">
        <v>9</v>
      </c>
      <c r="E339">
        <v>28</v>
      </c>
      <c r="F339" t="s">
        <v>10</v>
      </c>
      <c r="G339">
        <v>2</v>
      </c>
      <c r="H339">
        <v>50</v>
      </c>
      <c r="I339">
        <v>100</v>
      </c>
    </row>
    <row r="340" spans="1:9" x14ac:dyDescent="0.25">
      <c r="A340">
        <v>339</v>
      </c>
      <c r="B340" s="1">
        <v>45782</v>
      </c>
      <c r="C340" t="s">
        <v>301</v>
      </c>
      <c r="D340" t="s">
        <v>9</v>
      </c>
      <c r="E340">
        <v>53</v>
      </c>
      <c r="F340" t="s">
        <v>15</v>
      </c>
      <c r="G340">
        <v>2</v>
      </c>
      <c r="H340">
        <v>25</v>
      </c>
      <c r="I340">
        <v>50</v>
      </c>
    </row>
    <row r="341" spans="1:9" x14ac:dyDescent="0.25">
      <c r="A341">
        <v>340</v>
      </c>
      <c r="B341" s="1">
        <v>45783</v>
      </c>
      <c r="C341" t="s">
        <v>302</v>
      </c>
      <c r="D341" t="s">
        <v>12</v>
      </c>
      <c r="E341">
        <v>30</v>
      </c>
      <c r="F341" t="s">
        <v>13</v>
      </c>
      <c r="G341">
        <v>4</v>
      </c>
      <c r="H341">
        <v>300</v>
      </c>
      <c r="I341">
        <v>1200</v>
      </c>
    </row>
    <row r="342" spans="1:9" x14ac:dyDescent="0.25">
      <c r="A342">
        <v>341</v>
      </c>
      <c r="B342" s="1">
        <v>45783</v>
      </c>
      <c r="C342" t="s">
        <v>303</v>
      </c>
      <c r="D342" t="s">
        <v>9</v>
      </c>
      <c r="E342">
        <v>60</v>
      </c>
      <c r="F342" t="s">
        <v>13</v>
      </c>
      <c r="G342">
        <v>4</v>
      </c>
      <c r="H342">
        <v>50</v>
      </c>
      <c r="I342">
        <v>200</v>
      </c>
    </row>
    <row r="343" spans="1:9" x14ac:dyDescent="0.25">
      <c r="A343">
        <v>342</v>
      </c>
      <c r="B343" s="1">
        <v>45783</v>
      </c>
      <c r="C343" t="s">
        <v>304</v>
      </c>
      <c r="D343" t="s">
        <v>9</v>
      </c>
      <c r="E343">
        <v>20</v>
      </c>
      <c r="F343" t="s">
        <v>13</v>
      </c>
      <c r="G343">
        <v>4</v>
      </c>
      <c r="H343">
        <v>500</v>
      </c>
      <c r="I343">
        <v>2000</v>
      </c>
    </row>
    <row r="344" spans="1:9" x14ac:dyDescent="0.25">
      <c r="A344">
        <v>343</v>
      </c>
      <c r="B344" s="1">
        <v>45783</v>
      </c>
      <c r="C344" t="s">
        <v>305</v>
      </c>
      <c r="D344" t="s">
        <v>9</v>
      </c>
      <c r="E344">
        <v>50</v>
      </c>
      <c r="F344" t="s">
        <v>15</v>
      </c>
      <c r="G344">
        <v>2</v>
      </c>
      <c r="H344">
        <v>25</v>
      </c>
      <c r="I344">
        <v>50</v>
      </c>
    </row>
    <row r="345" spans="1:9" x14ac:dyDescent="0.25">
      <c r="A345">
        <v>344</v>
      </c>
      <c r="B345" s="1">
        <v>45783</v>
      </c>
      <c r="C345" t="s">
        <v>306</v>
      </c>
      <c r="D345" t="s">
        <v>12</v>
      </c>
      <c r="E345">
        <v>23</v>
      </c>
      <c r="F345" t="s">
        <v>10</v>
      </c>
      <c r="G345">
        <v>1</v>
      </c>
      <c r="H345">
        <v>30</v>
      </c>
      <c r="I345">
        <v>30</v>
      </c>
    </row>
    <row r="346" spans="1:9" x14ac:dyDescent="0.25">
      <c r="A346">
        <v>345</v>
      </c>
      <c r="B346" s="1">
        <v>45784</v>
      </c>
      <c r="C346" t="s">
        <v>307</v>
      </c>
      <c r="D346" t="s">
        <v>12</v>
      </c>
      <c r="E346">
        <v>27</v>
      </c>
      <c r="F346" t="s">
        <v>15</v>
      </c>
      <c r="G346">
        <v>1</v>
      </c>
      <c r="H346">
        <v>30</v>
      </c>
      <c r="I346">
        <v>30</v>
      </c>
    </row>
    <row r="347" spans="1:9" x14ac:dyDescent="0.25">
      <c r="A347">
        <v>346</v>
      </c>
      <c r="B347" s="1">
        <v>45784</v>
      </c>
      <c r="C347" t="s">
        <v>308</v>
      </c>
      <c r="D347" t="s">
        <v>12</v>
      </c>
      <c r="E347">
        <v>22</v>
      </c>
      <c r="F347" t="s">
        <v>13</v>
      </c>
      <c r="G347">
        <v>2</v>
      </c>
      <c r="H347">
        <v>500</v>
      </c>
      <c r="I347">
        <v>1000</v>
      </c>
    </row>
    <row r="348" spans="1:9" x14ac:dyDescent="0.25">
      <c r="A348">
        <v>347</v>
      </c>
      <c r="B348" s="1">
        <v>45784</v>
      </c>
      <c r="C348" t="s">
        <v>309</v>
      </c>
      <c r="D348" t="s">
        <v>12</v>
      </c>
      <c r="E348">
        <v>40</v>
      </c>
      <c r="F348" t="s">
        <v>15</v>
      </c>
      <c r="G348">
        <v>1</v>
      </c>
      <c r="H348">
        <v>25</v>
      </c>
      <c r="I348">
        <v>25</v>
      </c>
    </row>
    <row r="349" spans="1:9" x14ac:dyDescent="0.25">
      <c r="A349">
        <v>348</v>
      </c>
      <c r="B349" s="1">
        <v>45784</v>
      </c>
      <c r="C349" t="s">
        <v>310</v>
      </c>
      <c r="D349" t="s">
        <v>9</v>
      </c>
      <c r="E349">
        <v>27</v>
      </c>
      <c r="F349" t="s">
        <v>15</v>
      </c>
      <c r="G349">
        <v>2</v>
      </c>
      <c r="H349">
        <v>300</v>
      </c>
      <c r="I349">
        <v>600</v>
      </c>
    </row>
    <row r="350" spans="1:9" x14ac:dyDescent="0.25">
      <c r="A350">
        <v>349</v>
      </c>
      <c r="B350" s="1">
        <v>45784</v>
      </c>
      <c r="C350" t="s">
        <v>311</v>
      </c>
      <c r="D350" t="s">
        <v>9</v>
      </c>
      <c r="E350">
        <v>61</v>
      </c>
      <c r="F350" t="s">
        <v>10</v>
      </c>
      <c r="G350">
        <v>1</v>
      </c>
      <c r="H350">
        <v>50</v>
      </c>
      <c r="I350">
        <v>50</v>
      </c>
    </row>
    <row r="351" spans="1:9" x14ac:dyDescent="0.25">
      <c r="A351">
        <v>350</v>
      </c>
      <c r="B351" s="1">
        <v>45785</v>
      </c>
      <c r="C351" t="s">
        <v>312</v>
      </c>
      <c r="D351" t="s">
        <v>12</v>
      </c>
      <c r="E351">
        <v>19</v>
      </c>
      <c r="F351" t="s">
        <v>10</v>
      </c>
      <c r="G351">
        <v>3</v>
      </c>
      <c r="H351">
        <v>25</v>
      </c>
      <c r="I351">
        <v>75</v>
      </c>
    </row>
    <row r="352" spans="1:9" x14ac:dyDescent="0.25">
      <c r="A352">
        <v>351</v>
      </c>
      <c r="B352" s="1">
        <v>45785</v>
      </c>
      <c r="C352" t="s">
        <v>313</v>
      </c>
      <c r="D352" t="s">
        <v>9</v>
      </c>
      <c r="E352">
        <v>30</v>
      </c>
      <c r="F352" t="s">
        <v>13</v>
      </c>
      <c r="G352">
        <v>3</v>
      </c>
      <c r="H352">
        <v>30</v>
      </c>
      <c r="I352">
        <v>90</v>
      </c>
    </row>
    <row r="353" spans="1:9" x14ac:dyDescent="0.25">
      <c r="A353">
        <v>352</v>
      </c>
      <c r="B353" s="1">
        <v>45785</v>
      </c>
      <c r="C353" t="s">
        <v>314</v>
      </c>
      <c r="D353" t="s">
        <v>9</v>
      </c>
      <c r="E353">
        <v>57</v>
      </c>
      <c r="F353" t="s">
        <v>15</v>
      </c>
      <c r="G353">
        <v>2</v>
      </c>
      <c r="H353">
        <v>500</v>
      </c>
      <c r="I353">
        <v>1000</v>
      </c>
    </row>
    <row r="354" spans="1:9" x14ac:dyDescent="0.25">
      <c r="A354">
        <v>353</v>
      </c>
      <c r="B354" s="1">
        <v>45785</v>
      </c>
      <c r="C354" t="s">
        <v>315</v>
      </c>
      <c r="D354" t="s">
        <v>9</v>
      </c>
      <c r="E354">
        <v>19</v>
      </c>
      <c r="F354" t="s">
        <v>15</v>
      </c>
      <c r="G354">
        <v>1</v>
      </c>
      <c r="H354">
        <v>500</v>
      </c>
      <c r="I354">
        <v>500</v>
      </c>
    </row>
    <row r="355" spans="1:9" x14ac:dyDescent="0.25">
      <c r="A355">
        <v>354</v>
      </c>
      <c r="B355" s="1">
        <v>45785</v>
      </c>
      <c r="C355" t="s">
        <v>316</v>
      </c>
      <c r="D355" t="s">
        <v>12</v>
      </c>
      <c r="E355">
        <v>37</v>
      </c>
      <c r="F355" t="s">
        <v>10</v>
      </c>
      <c r="G355">
        <v>4</v>
      </c>
      <c r="H355">
        <v>50</v>
      </c>
      <c r="I355">
        <v>200</v>
      </c>
    </row>
    <row r="356" spans="1:9" x14ac:dyDescent="0.25">
      <c r="A356">
        <v>355</v>
      </c>
      <c r="B356" s="1">
        <v>45785</v>
      </c>
      <c r="C356" t="s">
        <v>317</v>
      </c>
      <c r="D356" t="s">
        <v>12</v>
      </c>
      <c r="E356">
        <v>18</v>
      </c>
      <c r="F356" t="s">
        <v>15</v>
      </c>
      <c r="G356">
        <v>1</v>
      </c>
      <c r="H356">
        <v>500</v>
      </c>
      <c r="I356">
        <v>500</v>
      </c>
    </row>
    <row r="357" spans="1:9" x14ac:dyDescent="0.25">
      <c r="A357">
        <v>356</v>
      </c>
      <c r="B357" s="1">
        <v>45786</v>
      </c>
      <c r="C357" t="s">
        <v>318</v>
      </c>
      <c r="D357" t="s">
        <v>9</v>
      </c>
      <c r="E357">
        <v>54</v>
      </c>
      <c r="F357" t="s">
        <v>15</v>
      </c>
      <c r="G357">
        <v>3</v>
      </c>
      <c r="H357">
        <v>500</v>
      </c>
      <c r="I357">
        <v>1500</v>
      </c>
    </row>
    <row r="358" spans="1:9" x14ac:dyDescent="0.25">
      <c r="A358">
        <v>357</v>
      </c>
      <c r="B358" s="1">
        <v>45786</v>
      </c>
      <c r="C358" t="s">
        <v>319</v>
      </c>
      <c r="D358" t="s">
        <v>12</v>
      </c>
      <c r="E358">
        <v>26</v>
      </c>
      <c r="F358" t="s">
        <v>15</v>
      </c>
      <c r="G358">
        <v>3</v>
      </c>
      <c r="H358">
        <v>25</v>
      </c>
      <c r="I358">
        <v>75</v>
      </c>
    </row>
    <row r="359" spans="1:9" x14ac:dyDescent="0.25">
      <c r="A359">
        <v>358</v>
      </c>
      <c r="B359" s="1">
        <v>45786</v>
      </c>
      <c r="C359" t="s">
        <v>320</v>
      </c>
      <c r="D359" t="s">
        <v>12</v>
      </c>
      <c r="E359">
        <v>34</v>
      </c>
      <c r="F359" t="s">
        <v>10</v>
      </c>
      <c r="G359">
        <v>1</v>
      </c>
      <c r="H359">
        <v>300</v>
      </c>
      <c r="I359">
        <v>300</v>
      </c>
    </row>
    <row r="360" spans="1:9" x14ac:dyDescent="0.25">
      <c r="A360">
        <v>359</v>
      </c>
      <c r="B360" s="1">
        <v>45787</v>
      </c>
      <c r="C360" t="s">
        <v>321</v>
      </c>
      <c r="D360" t="s">
        <v>12</v>
      </c>
      <c r="E360">
        <v>26</v>
      </c>
      <c r="F360" t="s">
        <v>13</v>
      </c>
      <c r="G360">
        <v>1</v>
      </c>
      <c r="H360">
        <v>50</v>
      </c>
      <c r="I360">
        <v>50</v>
      </c>
    </row>
    <row r="361" spans="1:9" x14ac:dyDescent="0.25">
      <c r="A361">
        <v>360</v>
      </c>
      <c r="B361" s="1">
        <v>45787</v>
      </c>
      <c r="C361" t="s">
        <v>322</v>
      </c>
      <c r="D361" t="s">
        <v>12</v>
      </c>
      <c r="E361">
        <v>28</v>
      </c>
      <c r="F361" t="s">
        <v>13</v>
      </c>
      <c r="G361">
        <v>4</v>
      </c>
      <c r="H361">
        <v>25</v>
      </c>
      <c r="I361">
        <v>100</v>
      </c>
    </row>
    <row r="362" spans="1:9" x14ac:dyDescent="0.25">
      <c r="A362">
        <v>361</v>
      </c>
      <c r="B362" s="1">
        <v>45788</v>
      </c>
      <c r="C362" t="s">
        <v>323</v>
      </c>
      <c r="D362" t="s">
        <v>12</v>
      </c>
      <c r="E362">
        <v>32</v>
      </c>
      <c r="F362" t="s">
        <v>15</v>
      </c>
      <c r="G362">
        <v>4</v>
      </c>
      <c r="H362">
        <v>300</v>
      </c>
      <c r="I362">
        <v>1200</v>
      </c>
    </row>
    <row r="363" spans="1:9" x14ac:dyDescent="0.25">
      <c r="A363">
        <v>362</v>
      </c>
      <c r="B363" s="1">
        <v>45789</v>
      </c>
      <c r="C363" t="s">
        <v>324</v>
      </c>
      <c r="D363" t="s">
        <v>9</v>
      </c>
      <c r="E363">
        <v>41</v>
      </c>
      <c r="F363" t="s">
        <v>13</v>
      </c>
      <c r="G363">
        <v>1</v>
      </c>
      <c r="H363">
        <v>25</v>
      </c>
      <c r="I363">
        <v>25</v>
      </c>
    </row>
    <row r="364" spans="1:9" x14ac:dyDescent="0.25">
      <c r="A364">
        <v>363</v>
      </c>
      <c r="B364" s="1">
        <v>45790</v>
      </c>
      <c r="C364" t="s">
        <v>325</v>
      </c>
      <c r="D364" t="s">
        <v>12</v>
      </c>
      <c r="E364">
        <v>55</v>
      </c>
      <c r="F364" t="s">
        <v>10</v>
      </c>
      <c r="G364">
        <v>7</v>
      </c>
      <c r="H364">
        <v>25</v>
      </c>
      <c r="I364">
        <v>175</v>
      </c>
    </row>
    <row r="365" spans="1:9" x14ac:dyDescent="0.25">
      <c r="A365">
        <v>364</v>
      </c>
      <c r="B365" s="1">
        <v>45790</v>
      </c>
      <c r="C365" t="s">
        <v>326</v>
      </c>
      <c r="D365" t="s">
        <v>9</v>
      </c>
      <c r="E365">
        <v>52</v>
      </c>
      <c r="F365" t="s">
        <v>10</v>
      </c>
      <c r="G365">
        <v>1</v>
      </c>
      <c r="H365">
        <v>500</v>
      </c>
      <c r="I365">
        <v>500</v>
      </c>
    </row>
    <row r="366" spans="1:9" x14ac:dyDescent="0.25">
      <c r="A366">
        <v>365</v>
      </c>
      <c r="B366" s="1">
        <v>45791</v>
      </c>
      <c r="C366" t="s">
        <v>327</v>
      </c>
      <c r="D366" t="s">
        <v>9</v>
      </c>
      <c r="E366">
        <v>47</v>
      </c>
      <c r="F366" t="s">
        <v>13</v>
      </c>
      <c r="G366">
        <v>1</v>
      </c>
      <c r="H366">
        <v>300</v>
      </c>
      <c r="I366">
        <v>300</v>
      </c>
    </row>
    <row r="367" spans="1:9" x14ac:dyDescent="0.25">
      <c r="A367">
        <v>366</v>
      </c>
      <c r="B367" s="1">
        <v>45791</v>
      </c>
      <c r="C367" t="s">
        <v>328</v>
      </c>
      <c r="D367" t="s">
        <v>12</v>
      </c>
      <c r="E367">
        <v>48</v>
      </c>
      <c r="F367" t="s">
        <v>13</v>
      </c>
      <c r="G367">
        <v>2</v>
      </c>
      <c r="H367">
        <v>50</v>
      </c>
      <c r="I367">
        <v>100</v>
      </c>
    </row>
    <row r="368" spans="1:9" x14ac:dyDescent="0.25">
      <c r="A368">
        <v>367</v>
      </c>
      <c r="B368" s="1">
        <v>45791</v>
      </c>
      <c r="C368" t="s">
        <v>272</v>
      </c>
      <c r="D368" t="s">
        <v>9</v>
      </c>
      <c r="E368">
        <v>28</v>
      </c>
      <c r="F368" t="s">
        <v>15</v>
      </c>
      <c r="G368">
        <v>1</v>
      </c>
      <c r="H368">
        <v>50</v>
      </c>
      <c r="I368">
        <v>50</v>
      </c>
    </row>
    <row r="369" spans="1:9" x14ac:dyDescent="0.25">
      <c r="A369">
        <v>368</v>
      </c>
      <c r="B369" s="1">
        <v>45792</v>
      </c>
      <c r="C369" t="s">
        <v>274</v>
      </c>
      <c r="D369" t="s">
        <v>12</v>
      </c>
      <c r="E369">
        <v>32</v>
      </c>
      <c r="F369" t="s">
        <v>13</v>
      </c>
      <c r="G369">
        <v>4</v>
      </c>
      <c r="H369">
        <v>300</v>
      </c>
      <c r="I369">
        <v>1200</v>
      </c>
    </row>
    <row r="370" spans="1:9" x14ac:dyDescent="0.25">
      <c r="A370">
        <v>369</v>
      </c>
      <c r="B370" s="1">
        <v>45792</v>
      </c>
      <c r="C370" t="s">
        <v>275</v>
      </c>
      <c r="D370" t="s">
        <v>9</v>
      </c>
      <c r="E370">
        <v>23</v>
      </c>
      <c r="F370" t="s">
        <v>15</v>
      </c>
      <c r="G370">
        <v>1</v>
      </c>
      <c r="H370">
        <v>500</v>
      </c>
      <c r="I370">
        <v>500</v>
      </c>
    </row>
    <row r="371" spans="1:9" x14ac:dyDescent="0.25">
      <c r="A371">
        <v>370</v>
      </c>
      <c r="B371" s="1">
        <v>45792</v>
      </c>
      <c r="C371" t="s">
        <v>279</v>
      </c>
      <c r="D371" t="s">
        <v>12</v>
      </c>
      <c r="E371">
        <v>32</v>
      </c>
      <c r="F371" t="s">
        <v>15</v>
      </c>
      <c r="G371">
        <v>2</v>
      </c>
      <c r="H371">
        <v>30</v>
      </c>
      <c r="I371">
        <v>60</v>
      </c>
    </row>
    <row r="372" spans="1:9" x14ac:dyDescent="0.25">
      <c r="A372">
        <v>371</v>
      </c>
      <c r="B372" s="1">
        <v>45793</v>
      </c>
      <c r="C372" t="s">
        <v>283</v>
      </c>
      <c r="D372" t="s">
        <v>12</v>
      </c>
      <c r="E372">
        <v>62</v>
      </c>
      <c r="F372" t="s">
        <v>10</v>
      </c>
      <c r="G372">
        <v>1</v>
      </c>
      <c r="H372">
        <v>25</v>
      </c>
      <c r="I372">
        <v>25</v>
      </c>
    </row>
    <row r="373" spans="1:9" x14ac:dyDescent="0.25">
      <c r="A373">
        <v>372</v>
      </c>
      <c r="B373" s="1">
        <v>45793</v>
      </c>
      <c r="C373" t="s">
        <v>285</v>
      </c>
      <c r="D373" t="s">
        <v>12</v>
      </c>
      <c r="E373">
        <v>22</v>
      </c>
      <c r="F373" t="s">
        <v>10</v>
      </c>
      <c r="G373">
        <v>3</v>
      </c>
      <c r="H373">
        <v>500</v>
      </c>
      <c r="I373">
        <v>1500</v>
      </c>
    </row>
    <row r="374" spans="1:9" x14ac:dyDescent="0.25">
      <c r="A374">
        <v>373</v>
      </c>
      <c r="B374" s="1">
        <v>45793</v>
      </c>
      <c r="C374" t="s">
        <v>288</v>
      </c>
      <c r="D374" t="s">
        <v>12</v>
      </c>
      <c r="E374">
        <v>21</v>
      </c>
      <c r="F374" t="s">
        <v>10</v>
      </c>
      <c r="G374">
        <v>2</v>
      </c>
      <c r="H374">
        <v>300</v>
      </c>
      <c r="I374">
        <v>600</v>
      </c>
    </row>
    <row r="375" spans="1:9" x14ac:dyDescent="0.25">
      <c r="A375">
        <v>374</v>
      </c>
      <c r="B375" s="1">
        <v>45793</v>
      </c>
      <c r="C375" t="s">
        <v>293</v>
      </c>
      <c r="D375" t="s">
        <v>12</v>
      </c>
      <c r="E375">
        <v>29</v>
      </c>
      <c r="F375" t="s">
        <v>10</v>
      </c>
      <c r="G375">
        <v>3</v>
      </c>
      <c r="H375">
        <v>25</v>
      </c>
      <c r="I375">
        <v>75</v>
      </c>
    </row>
    <row r="376" spans="1:9" x14ac:dyDescent="0.25">
      <c r="A376">
        <v>375</v>
      </c>
      <c r="B376" s="1">
        <v>45793</v>
      </c>
      <c r="C376" t="s">
        <v>302</v>
      </c>
      <c r="D376" t="s">
        <v>12</v>
      </c>
      <c r="E376">
        <v>30</v>
      </c>
      <c r="F376" t="s">
        <v>13</v>
      </c>
      <c r="G376">
        <v>1</v>
      </c>
      <c r="H376">
        <v>50</v>
      </c>
      <c r="I376">
        <v>50</v>
      </c>
    </row>
    <row r="377" spans="1:9" x14ac:dyDescent="0.25">
      <c r="A377">
        <v>376</v>
      </c>
      <c r="B377" s="1">
        <v>45793</v>
      </c>
      <c r="C377" t="s">
        <v>304</v>
      </c>
      <c r="D377" t="s">
        <v>9</v>
      </c>
      <c r="E377">
        <v>20</v>
      </c>
      <c r="F377" t="s">
        <v>10</v>
      </c>
      <c r="G377">
        <v>1</v>
      </c>
      <c r="H377">
        <v>30</v>
      </c>
      <c r="I377">
        <v>30</v>
      </c>
    </row>
    <row r="378" spans="1:9" x14ac:dyDescent="0.25">
      <c r="A378">
        <v>377</v>
      </c>
      <c r="B378" s="1">
        <v>45793</v>
      </c>
      <c r="C378" t="s">
        <v>307</v>
      </c>
      <c r="D378" t="s">
        <v>12</v>
      </c>
      <c r="E378">
        <v>27</v>
      </c>
      <c r="F378" t="s">
        <v>13</v>
      </c>
      <c r="G378">
        <v>4</v>
      </c>
      <c r="H378">
        <v>50</v>
      </c>
      <c r="I378">
        <v>200</v>
      </c>
    </row>
    <row r="379" spans="1:9" x14ac:dyDescent="0.25">
      <c r="A379">
        <v>378</v>
      </c>
      <c r="B379" s="1">
        <v>45793</v>
      </c>
      <c r="C379" t="s">
        <v>310</v>
      </c>
      <c r="D379" t="s">
        <v>9</v>
      </c>
      <c r="E379">
        <v>27</v>
      </c>
      <c r="F379" t="s">
        <v>10</v>
      </c>
      <c r="G379">
        <v>1</v>
      </c>
      <c r="H379">
        <v>300</v>
      </c>
      <c r="I379">
        <v>300</v>
      </c>
    </row>
    <row r="380" spans="1:9" x14ac:dyDescent="0.25">
      <c r="A380">
        <v>379</v>
      </c>
      <c r="B380" s="1">
        <v>45793</v>
      </c>
      <c r="C380" t="s">
        <v>314</v>
      </c>
      <c r="D380" t="s">
        <v>9</v>
      </c>
      <c r="E380">
        <v>57</v>
      </c>
      <c r="F380" t="s">
        <v>13</v>
      </c>
      <c r="G380">
        <v>1</v>
      </c>
      <c r="H380">
        <v>25</v>
      </c>
      <c r="I380">
        <v>25</v>
      </c>
    </row>
    <row r="381" spans="1:9" x14ac:dyDescent="0.25">
      <c r="A381">
        <v>380</v>
      </c>
      <c r="B381" s="1">
        <v>45793</v>
      </c>
      <c r="C381" t="s">
        <v>317</v>
      </c>
      <c r="D381" t="s">
        <v>12</v>
      </c>
      <c r="E381">
        <v>18</v>
      </c>
      <c r="F381" t="s">
        <v>15</v>
      </c>
      <c r="G381">
        <v>2</v>
      </c>
      <c r="H381">
        <v>300</v>
      </c>
      <c r="I381">
        <v>600</v>
      </c>
    </row>
    <row r="382" spans="1:9" x14ac:dyDescent="0.25">
      <c r="A382">
        <v>381</v>
      </c>
      <c r="B382" s="1">
        <v>45793</v>
      </c>
      <c r="C382" t="s">
        <v>320</v>
      </c>
      <c r="D382" t="s">
        <v>12</v>
      </c>
      <c r="E382">
        <v>34</v>
      </c>
      <c r="F382" t="s">
        <v>13</v>
      </c>
      <c r="G382">
        <v>4</v>
      </c>
      <c r="H382">
        <v>25</v>
      </c>
      <c r="I382">
        <v>100</v>
      </c>
    </row>
    <row r="383" spans="1:9" x14ac:dyDescent="0.25">
      <c r="A383">
        <v>382</v>
      </c>
      <c r="B383" s="1">
        <v>45794</v>
      </c>
      <c r="C383" t="s">
        <v>321</v>
      </c>
      <c r="D383" t="s">
        <v>12</v>
      </c>
      <c r="E383">
        <v>26</v>
      </c>
      <c r="F383" t="s">
        <v>13</v>
      </c>
      <c r="G383">
        <v>2</v>
      </c>
      <c r="H383">
        <v>500</v>
      </c>
      <c r="I383">
        <v>1000</v>
      </c>
    </row>
    <row r="384" spans="1:9" x14ac:dyDescent="0.25">
      <c r="A384">
        <v>383</v>
      </c>
      <c r="B384" s="1">
        <v>45794</v>
      </c>
      <c r="C384" t="s">
        <v>322</v>
      </c>
      <c r="D384" t="s">
        <v>12</v>
      </c>
      <c r="E384">
        <v>28</v>
      </c>
      <c r="F384" t="s">
        <v>10</v>
      </c>
      <c r="G384">
        <v>3</v>
      </c>
      <c r="H384">
        <v>30</v>
      </c>
      <c r="I384">
        <v>90</v>
      </c>
    </row>
    <row r="385" spans="1:9" x14ac:dyDescent="0.25">
      <c r="A385">
        <v>384</v>
      </c>
      <c r="B385" s="1">
        <v>45794</v>
      </c>
      <c r="C385" t="s">
        <v>323</v>
      </c>
      <c r="D385" t="s">
        <v>12</v>
      </c>
      <c r="E385">
        <v>32</v>
      </c>
      <c r="F385" t="s">
        <v>13</v>
      </c>
      <c r="G385">
        <v>5</v>
      </c>
      <c r="H385">
        <v>500</v>
      </c>
      <c r="I385">
        <v>2500</v>
      </c>
    </row>
    <row r="386" spans="1:9" x14ac:dyDescent="0.25">
      <c r="A386">
        <v>385</v>
      </c>
      <c r="B386" s="1">
        <v>45795</v>
      </c>
      <c r="C386" t="s">
        <v>325</v>
      </c>
      <c r="D386" t="s">
        <v>12</v>
      </c>
      <c r="E386">
        <v>55</v>
      </c>
      <c r="F386" t="s">
        <v>15</v>
      </c>
      <c r="G386">
        <v>3</v>
      </c>
      <c r="H386">
        <v>500</v>
      </c>
      <c r="I386">
        <v>1500</v>
      </c>
    </row>
    <row r="387" spans="1:9" x14ac:dyDescent="0.25">
      <c r="A387">
        <v>386</v>
      </c>
      <c r="B387" s="1">
        <v>45795</v>
      </c>
      <c r="C387" t="s">
        <v>335</v>
      </c>
      <c r="D387" t="s">
        <v>12</v>
      </c>
      <c r="E387">
        <v>29</v>
      </c>
      <c r="F387" t="s">
        <v>15</v>
      </c>
      <c r="G387">
        <v>2</v>
      </c>
      <c r="H387">
        <v>300</v>
      </c>
      <c r="I387">
        <v>600</v>
      </c>
    </row>
    <row r="388" spans="1:9" x14ac:dyDescent="0.25">
      <c r="A388">
        <v>387</v>
      </c>
      <c r="B388" s="1">
        <v>45796</v>
      </c>
      <c r="C388" t="s">
        <v>340</v>
      </c>
      <c r="D388" t="s">
        <v>9</v>
      </c>
      <c r="E388">
        <v>39</v>
      </c>
      <c r="F388" t="s">
        <v>10</v>
      </c>
      <c r="G388">
        <v>1</v>
      </c>
      <c r="H388">
        <v>30</v>
      </c>
      <c r="I388">
        <v>30</v>
      </c>
    </row>
    <row r="389" spans="1:9" x14ac:dyDescent="0.25">
      <c r="A389">
        <v>388</v>
      </c>
      <c r="B389" s="1">
        <v>45796</v>
      </c>
      <c r="C389" t="s">
        <v>342</v>
      </c>
      <c r="D389" t="s">
        <v>12</v>
      </c>
      <c r="E389">
        <v>25</v>
      </c>
      <c r="F389" t="s">
        <v>15</v>
      </c>
      <c r="G389">
        <v>1</v>
      </c>
      <c r="H389">
        <v>25</v>
      </c>
      <c r="I389">
        <v>25</v>
      </c>
    </row>
    <row r="390" spans="1:9" x14ac:dyDescent="0.25">
      <c r="A390">
        <v>389</v>
      </c>
      <c r="B390" s="1">
        <v>45796</v>
      </c>
      <c r="C390" t="s">
        <v>347</v>
      </c>
      <c r="D390" t="s">
        <v>12</v>
      </c>
      <c r="E390">
        <v>47</v>
      </c>
      <c r="F390" t="s">
        <v>13</v>
      </c>
      <c r="G390">
        <v>2</v>
      </c>
      <c r="H390">
        <v>25</v>
      </c>
      <c r="I390">
        <v>50</v>
      </c>
    </row>
    <row r="391" spans="1:9" x14ac:dyDescent="0.25">
      <c r="A391">
        <v>390</v>
      </c>
      <c r="B391" s="1">
        <v>45797</v>
      </c>
      <c r="C391" t="s">
        <v>348</v>
      </c>
      <c r="D391" t="s">
        <v>12</v>
      </c>
      <c r="E391">
        <v>52</v>
      </c>
      <c r="F391" t="s">
        <v>15</v>
      </c>
      <c r="G391">
        <v>2</v>
      </c>
      <c r="H391">
        <v>50</v>
      </c>
      <c r="I391">
        <v>100</v>
      </c>
    </row>
    <row r="392" spans="1:9" x14ac:dyDescent="0.25">
      <c r="A392">
        <v>391</v>
      </c>
      <c r="B392" s="1">
        <v>45797</v>
      </c>
      <c r="C392" t="s">
        <v>350</v>
      </c>
      <c r="D392" t="s">
        <v>9</v>
      </c>
      <c r="E392">
        <v>54</v>
      </c>
      <c r="F392" t="s">
        <v>10</v>
      </c>
      <c r="G392">
        <v>2</v>
      </c>
      <c r="H392">
        <v>25</v>
      </c>
      <c r="I392">
        <v>50</v>
      </c>
    </row>
    <row r="393" spans="1:9" x14ac:dyDescent="0.25">
      <c r="A393">
        <v>392</v>
      </c>
      <c r="B393" s="1">
        <v>45797</v>
      </c>
      <c r="C393" t="s">
        <v>356</v>
      </c>
      <c r="D393" t="s">
        <v>12</v>
      </c>
      <c r="E393">
        <v>42</v>
      </c>
      <c r="F393" t="s">
        <v>13</v>
      </c>
      <c r="G393">
        <v>2</v>
      </c>
      <c r="H393">
        <v>300</v>
      </c>
      <c r="I393">
        <v>600</v>
      </c>
    </row>
    <row r="394" spans="1:9" x14ac:dyDescent="0.25">
      <c r="A394">
        <v>393</v>
      </c>
      <c r="B394" s="1">
        <v>45798</v>
      </c>
      <c r="C394" t="s">
        <v>361</v>
      </c>
      <c r="D394" t="s">
        <v>12</v>
      </c>
      <c r="E394">
        <v>57</v>
      </c>
      <c r="F394" t="s">
        <v>10</v>
      </c>
      <c r="G394">
        <v>2</v>
      </c>
      <c r="H394">
        <v>500</v>
      </c>
      <c r="I394">
        <v>1000</v>
      </c>
    </row>
    <row r="395" spans="1:9" x14ac:dyDescent="0.25">
      <c r="A395">
        <v>394</v>
      </c>
      <c r="B395" s="1">
        <v>45798</v>
      </c>
      <c r="C395" t="s">
        <v>362</v>
      </c>
      <c r="D395" t="s">
        <v>9</v>
      </c>
      <c r="E395">
        <v>25</v>
      </c>
      <c r="F395" t="s">
        <v>13</v>
      </c>
      <c r="G395">
        <v>1</v>
      </c>
      <c r="H395">
        <v>500</v>
      </c>
      <c r="I395">
        <v>500</v>
      </c>
    </row>
    <row r="396" spans="1:9" x14ac:dyDescent="0.25">
      <c r="A396">
        <v>395</v>
      </c>
      <c r="B396" s="1">
        <v>45798</v>
      </c>
      <c r="C396" t="s">
        <v>366</v>
      </c>
      <c r="D396" t="s">
        <v>12</v>
      </c>
      <c r="E396">
        <v>49</v>
      </c>
      <c r="F396" t="s">
        <v>15</v>
      </c>
      <c r="G396">
        <v>2</v>
      </c>
      <c r="H396">
        <v>500</v>
      </c>
      <c r="I396">
        <v>1000</v>
      </c>
    </row>
    <row r="397" spans="1:9" x14ac:dyDescent="0.25">
      <c r="A397">
        <v>396</v>
      </c>
      <c r="B397" s="1">
        <v>45799</v>
      </c>
      <c r="C397" t="s">
        <v>370</v>
      </c>
      <c r="D397" t="s">
        <v>12</v>
      </c>
      <c r="E397">
        <v>32</v>
      </c>
      <c r="F397" t="s">
        <v>10</v>
      </c>
      <c r="G397">
        <v>1</v>
      </c>
      <c r="H397">
        <v>30</v>
      </c>
      <c r="I397">
        <v>30</v>
      </c>
    </row>
    <row r="398" spans="1:9" x14ac:dyDescent="0.25">
      <c r="A398">
        <v>397</v>
      </c>
      <c r="B398" s="1">
        <v>45799</v>
      </c>
      <c r="C398" t="s">
        <v>375</v>
      </c>
      <c r="D398" t="s">
        <v>9</v>
      </c>
      <c r="E398">
        <v>64</v>
      </c>
      <c r="F398" t="s">
        <v>10</v>
      </c>
      <c r="G398">
        <v>1</v>
      </c>
      <c r="H398">
        <v>25</v>
      </c>
      <c r="I398">
        <v>25</v>
      </c>
    </row>
    <row r="399" spans="1:9" x14ac:dyDescent="0.25">
      <c r="A399">
        <v>398</v>
      </c>
      <c r="B399" s="1">
        <v>45799</v>
      </c>
      <c r="C399" t="s">
        <v>376</v>
      </c>
      <c r="D399" t="s">
        <v>12</v>
      </c>
      <c r="E399">
        <v>19</v>
      </c>
      <c r="F399" t="s">
        <v>13</v>
      </c>
      <c r="G399">
        <v>2</v>
      </c>
      <c r="H399">
        <v>300</v>
      </c>
      <c r="I399">
        <v>600</v>
      </c>
    </row>
    <row r="400" spans="1:9" x14ac:dyDescent="0.25">
      <c r="A400">
        <v>399</v>
      </c>
      <c r="B400" s="1">
        <v>45799</v>
      </c>
      <c r="C400" t="s">
        <v>383</v>
      </c>
      <c r="D400" t="s">
        <v>12</v>
      </c>
      <c r="E400">
        <v>20</v>
      </c>
      <c r="F400" t="s">
        <v>10</v>
      </c>
      <c r="G400">
        <v>2</v>
      </c>
      <c r="H400">
        <v>30</v>
      </c>
      <c r="I400">
        <v>60</v>
      </c>
    </row>
    <row r="401" spans="1:9" x14ac:dyDescent="0.25">
      <c r="A401">
        <v>400</v>
      </c>
      <c r="B401" s="1">
        <v>45800</v>
      </c>
      <c r="C401" t="s">
        <v>384</v>
      </c>
      <c r="D401" t="s">
        <v>12</v>
      </c>
      <c r="E401">
        <v>24</v>
      </c>
      <c r="F401" t="s">
        <v>13</v>
      </c>
      <c r="G401">
        <v>4</v>
      </c>
      <c r="H401">
        <v>50</v>
      </c>
      <c r="I401">
        <v>200</v>
      </c>
    </row>
    <row r="402" spans="1:9" x14ac:dyDescent="0.25">
      <c r="A402">
        <v>401</v>
      </c>
      <c r="B402" s="1">
        <v>45800</v>
      </c>
      <c r="C402" t="s">
        <v>385</v>
      </c>
      <c r="D402" t="s">
        <v>12</v>
      </c>
      <c r="E402">
        <v>25</v>
      </c>
      <c r="F402" t="s">
        <v>13</v>
      </c>
      <c r="G402">
        <v>1</v>
      </c>
      <c r="H402">
        <v>300</v>
      </c>
      <c r="I402">
        <v>300</v>
      </c>
    </row>
    <row r="403" spans="1:9" x14ac:dyDescent="0.25">
      <c r="A403">
        <v>402</v>
      </c>
      <c r="B403" s="1">
        <v>45800</v>
      </c>
      <c r="C403" t="s">
        <v>386</v>
      </c>
      <c r="D403" t="s">
        <v>12</v>
      </c>
      <c r="E403">
        <v>59</v>
      </c>
      <c r="F403" t="s">
        <v>13</v>
      </c>
      <c r="G403">
        <v>2</v>
      </c>
      <c r="H403">
        <v>300</v>
      </c>
      <c r="I403">
        <v>600</v>
      </c>
    </row>
    <row r="404" spans="1:9" x14ac:dyDescent="0.25">
      <c r="A404">
        <v>403</v>
      </c>
      <c r="B404" s="1">
        <v>45800</v>
      </c>
      <c r="C404" t="s">
        <v>388</v>
      </c>
      <c r="D404" t="s">
        <v>12</v>
      </c>
      <c r="E404">
        <v>64</v>
      </c>
      <c r="F404" t="s">
        <v>13</v>
      </c>
      <c r="G404">
        <v>2</v>
      </c>
      <c r="H404">
        <v>300</v>
      </c>
      <c r="I404">
        <v>600</v>
      </c>
    </row>
    <row r="405" spans="1:9" x14ac:dyDescent="0.25">
      <c r="A405">
        <v>404</v>
      </c>
      <c r="B405" s="1">
        <v>45800</v>
      </c>
      <c r="C405" t="s">
        <v>390</v>
      </c>
      <c r="D405" t="s">
        <v>9</v>
      </c>
      <c r="E405">
        <v>50</v>
      </c>
      <c r="F405" t="s">
        <v>15</v>
      </c>
      <c r="G405">
        <v>2</v>
      </c>
      <c r="H405">
        <v>500</v>
      </c>
      <c r="I405">
        <v>1000</v>
      </c>
    </row>
    <row r="406" spans="1:9" x14ac:dyDescent="0.25">
      <c r="A406">
        <v>405</v>
      </c>
      <c r="B406" s="1">
        <v>45800</v>
      </c>
      <c r="C406" t="s">
        <v>395</v>
      </c>
      <c r="D406" t="s">
        <v>12</v>
      </c>
      <c r="E406">
        <v>46</v>
      </c>
      <c r="F406" t="s">
        <v>13</v>
      </c>
      <c r="G406">
        <v>4</v>
      </c>
      <c r="H406">
        <v>300</v>
      </c>
      <c r="I406">
        <v>1200</v>
      </c>
    </row>
    <row r="407" spans="1:9" x14ac:dyDescent="0.25">
      <c r="A407">
        <v>406</v>
      </c>
      <c r="B407" s="1">
        <v>45800</v>
      </c>
      <c r="C407" t="s">
        <v>399</v>
      </c>
      <c r="D407" t="s">
        <v>9</v>
      </c>
      <c r="E407">
        <v>44</v>
      </c>
      <c r="F407" t="s">
        <v>10</v>
      </c>
      <c r="G407">
        <v>4</v>
      </c>
      <c r="H407">
        <v>25</v>
      </c>
      <c r="I407">
        <v>100</v>
      </c>
    </row>
    <row r="408" spans="1:9" x14ac:dyDescent="0.25">
      <c r="A408">
        <v>407</v>
      </c>
      <c r="B408" s="1">
        <v>45800</v>
      </c>
      <c r="C408" t="s">
        <v>403</v>
      </c>
      <c r="D408" t="s">
        <v>9</v>
      </c>
      <c r="E408">
        <v>19</v>
      </c>
      <c r="F408" t="s">
        <v>15</v>
      </c>
      <c r="G408">
        <v>3</v>
      </c>
      <c r="H408">
        <v>300</v>
      </c>
      <c r="I408">
        <v>900</v>
      </c>
    </row>
    <row r="409" spans="1:9" x14ac:dyDescent="0.25">
      <c r="A409">
        <v>408</v>
      </c>
      <c r="B409" s="1">
        <v>45800</v>
      </c>
      <c r="C409" t="s">
        <v>405</v>
      </c>
      <c r="D409" t="s">
        <v>12</v>
      </c>
      <c r="E409">
        <v>22</v>
      </c>
      <c r="F409" t="s">
        <v>10</v>
      </c>
      <c r="G409">
        <v>1</v>
      </c>
      <c r="H409">
        <v>500</v>
      </c>
      <c r="I409">
        <v>500</v>
      </c>
    </row>
    <row r="410" spans="1:9" x14ac:dyDescent="0.25">
      <c r="A410">
        <v>409</v>
      </c>
      <c r="B410" s="1">
        <v>45801</v>
      </c>
      <c r="C410" t="s">
        <v>408</v>
      </c>
      <c r="D410" t="s">
        <v>12</v>
      </c>
      <c r="E410">
        <v>55</v>
      </c>
      <c r="F410" t="s">
        <v>15</v>
      </c>
      <c r="G410">
        <v>3</v>
      </c>
      <c r="H410">
        <v>300</v>
      </c>
      <c r="I410">
        <v>900</v>
      </c>
    </row>
    <row r="411" spans="1:9" x14ac:dyDescent="0.25">
      <c r="A411">
        <v>410</v>
      </c>
      <c r="B411" s="1">
        <v>45802</v>
      </c>
      <c r="C411" t="s">
        <v>409</v>
      </c>
      <c r="D411" t="s">
        <v>12</v>
      </c>
      <c r="E411">
        <v>30</v>
      </c>
      <c r="F411" t="s">
        <v>13</v>
      </c>
      <c r="G411">
        <v>2</v>
      </c>
      <c r="H411">
        <v>50</v>
      </c>
      <c r="I411">
        <v>100</v>
      </c>
    </row>
    <row r="412" spans="1:9" x14ac:dyDescent="0.25">
      <c r="A412">
        <v>411</v>
      </c>
      <c r="B412" s="1">
        <v>45802</v>
      </c>
      <c r="C412" t="s">
        <v>411</v>
      </c>
      <c r="D412" t="s">
        <v>12</v>
      </c>
      <c r="E412">
        <v>64</v>
      </c>
      <c r="F412" t="s">
        <v>15</v>
      </c>
      <c r="G412">
        <v>4</v>
      </c>
      <c r="H412">
        <v>50</v>
      </c>
      <c r="I412">
        <v>200</v>
      </c>
    </row>
    <row r="413" spans="1:9" x14ac:dyDescent="0.25">
      <c r="A413">
        <v>412</v>
      </c>
      <c r="B413" s="1">
        <v>45802</v>
      </c>
      <c r="C413" t="s">
        <v>418</v>
      </c>
      <c r="D413" t="s">
        <v>12</v>
      </c>
      <c r="E413">
        <v>22</v>
      </c>
      <c r="F413" t="s">
        <v>15</v>
      </c>
      <c r="G413">
        <v>4</v>
      </c>
      <c r="H413">
        <v>500</v>
      </c>
      <c r="I413">
        <v>2000</v>
      </c>
    </row>
    <row r="414" spans="1:9" x14ac:dyDescent="0.25">
      <c r="A414">
        <v>413</v>
      </c>
      <c r="B414" s="1">
        <v>45803</v>
      </c>
      <c r="C414" t="s">
        <v>420</v>
      </c>
      <c r="D414" t="s">
        <v>12</v>
      </c>
      <c r="E414">
        <v>64</v>
      </c>
      <c r="F414" t="s">
        <v>10</v>
      </c>
      <c r="G414">
        <v>3</v>
      </c>
      <c r="H414">
        <v>25</v>
      </c>
      <c r="I414">
        <v>75</v>
      </c>
    </row>
    <row r="415" spans="1:9" x14ac:dyDescent="0.25">
      <c r="A415">
        <v>414</v>
      </c>
      <c r="B415" s="1">
        <v>45803</v>
      </c>
      <c r="C415" t="s">
        <v>425</v>
      </c>
      <c r="D415" t="s">
        <v>12</v>
      </c>
      <c r="E415">
        <v>44</v>
      </c>
      <c r="F415" t="s">
        <v>10</v>
      </c>
      <c r="G415">
        <v>4</v>
      </c>
      <c r="H415">
        <v>25</v>
      </c>
      <c r="I415">
        <v>100</v>
      </c>
    </row>
    <row r="416" spans="1:9" x14ac:dyDescent="0.25">
      <c r="A416">
        <v>415</v>
      </c>
      <c r="B416" s="1">
        <v>45803</v>
      </c>
      <c r="C416" t="s">
        <v>426</v>
      </c>
      <c r="D416" t="s">
        <v>9</v>
      </c>
      <c r="E416">
        <v>48</v>
      </c>
      <c r="F416" t="s">
        <v>13</v>
      </c>
      <c r="G416">
        <v>2</v>
      </c>
      <c r="H416">
        <v>30</v>
      </c>
      <c r="I416">
        <v>60</v>
      </c>
    </row>
    <row r="417" spans="1:9" x14ac:dyDescent="0.25">
      <c r="A417">
        <v>416</v>
      </c>
      <c r="B417" s="1">
        <v>45804</v>
      </c>
      <c r="C417" t="s">
        <v>329</v>
      </c>
      <c r="D417" t="s">
        <v>9</v>
      </c>
      <c r="E417">
        <v>22</v>
      </c>
      <c r="F417" t="s">
        <v>15</v>
      </c>
      <c r="G417">
        <v>4</v>
      </c>
      <c r="H417">
        <v>500</v>
      </c>
      <c r="I417">
        <v>2000</v>
      </c>
    </row>
    <row r="418" spans="1:9" x14ac:dyDescent="0.25">
      <c r="A418">
        <v>417</v>
      </c>
      <c r="B418" s="1">
        <v>45804</v>
      </c>
      <c r="C418" t="s">
        <v>330</v>
      </c>
      <c r="D418" t="s">
        <v>9</v>
      </c>
      <c r="E418">
        <v>61</v>
      </c>
      <c r="F418" t="s">
        <v>15</v>
      </c>
      <c r="G418">
        <v>3</v>
      </c>
      <c r="H418">
        <v>300</v>
      </c>
      <c r="I418">
        <v>900</v>
      </c>
    </row>
    <row r="419" spans="1:9" x14ac:dyDescent="0.25">
      <c r="A419">
        <v>418</v>
      </c>
      <c r="B419" s="1">
        <v>45804</v>
      </c>
      <c r="C419" t="s">
        <v>331</v>
      </c>
      <c r="D419" t="s">
        <v>9</v>
      </c>
      <c r="E419">
        <v>31</v>
      </c>
      <c r="F419" t="s">
        <v>15</v>
      </c>
      <c r="G419">
        <v>2</v>
      </c>
      <c r="H419">
        <v>500</v>
      </c>
      <c r="I419">
        <v>1000</v>
      </c>
    </row>
    <row r="420" spans="1:9" x14ac:dyDescent="0.25">
      <c r="A420">
        <v>419</v>
      </c>
      <c r="B420" s="1">
        <v>45805</v>
      </c>
      <c r="C420" t="s">
        <v>332</v>
      </c>
      <c r="D420" t="s">
        <v>12</v>
      </c>
      <c r="E420">
        <v>28</v>
      </c>
      <c r="F420" t="s">
        <v>13</v>
      </c>
      <c r="G420">
        <v>3</v>
      </c>
      <c r="H420">
        <v>30</v>
      </c>
      <c r="I420">
        <v>90</v>
      </c>
    </row>
    <row r="421" spans="1:9" x14ac:dyDescent="0.25">
      <c r="A421">
        <v>420</v>
      </c>
      <c r="B421" s="1">
        <v>45806</v>
      </c>
      <c r="C421" t="s">
        <v>333</v>
      </c>
      <c r="D421" t="s">
        <v>12</v>
      </c>
      <c r="E421">
        <v>26</v>
      </c>
      <c r="F421" t="s">
        <v>13</v>
      </c>
      <c r="G421">
        <v>4</v>
      </c>
      <c r="H421">
        <v>500</v>
      </c>
      <c r="I421">
        <v>2000</v>
      </c>
    </row>
    <row r="422" spans="1:9" x14ac:dyDescent="0.25">
      <c r="A422">
        <v>421</v>
      </c>
      <c r="B422" s="1">
        <v>45807</v>
      </c>
      <c r="C422" t="s">
        <v>334</v>
      </c>
      <c r="D422" t="s">
        <v>9</v>
      </c>
      <c r="E422">
        <v>51</v>
      </c>
      <c r="F422" t="s">
        <v>13</v>
      </c>
      <c r="G422">
        <v>3</v>
      </c>
      <c r="H422">
        <v>500</v>
      </c>
      <c r="I422">
        <v>1500</v>
      </c>
    </row>
    <row r="423" spans="1:9" x14ac:dyDescent="0.25">
      <c r="A423">
        <v>422</v>
      </c>
      <c r="B423" s="1">
        <v>45807</v>
      </c>
      <c r="C423" t="s">
        <v>335</v>
      </c>
      <c r="D423" t="s">
        <v>12</v>
      </c>
      <c r="E423">
        <v>29</v>
      </c>
      <c r="F423" t="s">
        <v>13</v>
      </c>
      <c r="G423">
        <v>3</v>
      </c>
      <c r="H423">
        <v>30</v>
      </c>
      <c r="I423">
        <v>90</v>
      </c>
    </row>
    <row r="424" spans="1:9" x14ac:dyDescent="0.25">
      <c r="A424">
        <v>423</v>
      </c>
      <c r="B424" s="1">
        <v>45808</v>
      </c>
      <c r="C424" t="s">
        <v>336</v>
      </c>
      <c r="D424" t="s">
        <v>12</v>
      </c>
      <c r="E424">
        <v>52</v>
      </c>
      <c r="F424" t="s">
        <v>13</v>
      </c>
      <c r="G424">
        <v>1</v>
      </c>
      <c r="H424">
        <v>25</v>
      </c>
      <c r="I424">
        <v>25</v>
      </c>
    </row>
    <row r="425" spans="1:9" x14ac:dyDescent="0.25">
      <c r="A425">
        <v>424</v>
      </c>
      <c r="B425" s="1">
        <v>45808</v>
      </c>
      <c r="C425" t="s">
        <v>337</v>
      </c>
      <c r="D425" t="s">
        <v>12</v>
      </c>
      <c r="E425">
        <v>52</v>
      </c>
      <c r="F425" t="s">
        <v>10</v>
      </c>
      <c r="G425">
        <v>4</v>
      </c>
      <c r="H425">
        <v>300</v>
      </c>
      <c r="I425">
        <v>1200</v>
      </c>
    </row>
    <row r="426" spans="1:9" x14ac:dyDescent="0.25">
      <c r="A426">
        <v>425</v>
      </c>
      <c r="B426" s="1">
        <v>45808</v>
      </c>
      <c r="C426" t="s">
        <v>338</v>
      </c>
      <c r="D426" t="s">
        <v>12</v>
      </c>
      <c r="E426">
        <v>18</v>
      </c>
      <c r="F426" t="s">
        <v>15</v>
      </c>
      <c r="G426">
        <v>4</v>
      </c>
      <c r="H426">
        <v>30</v>
      </c>
      <c r="I426">
        <v>120</v>
      </c>
    </row>
    <row r="427" spans="1:9" x14ac:dyDescent="0.25">
      <c r="A427">
        <v>426</v>
      </c>
      <c r="B427" s="1">
        <v>45809</v>
      </c>
      <c r="C427" t="s">
        <v>339</v>
      </c>
      <c r="D427" t="s">
        <v>9</v>
      </c>
      <c r="E427">
        <v>57</v>
      </c>
      <c r="F427" t="s">
        <v>15</v>
      </c>
      <c r="G427">
        <v>3</v>
      </c>
      <c r="H427">
        <v>50</v>
      </c>
      <c r="I427">
        <v>150</v>
      </c>
    </row>
    <row r="428" spans="1:9" x14ac:dyDescent="0.25">
      <c r="A428">
        <v>427</v>
      </c>
      <c r="B428" s="1">
        <v>45809</v>
      </c>
      <c r="C428" t="s">
        <v>340</v>
      </c>
      <c r="D428" t="s">
        <v>9</v>
      </c>
      <c r="E428">
        <v>39</v>
      </c>
      <c r="F428" t="s">
        <v>15</v>
      </c>
      <c r="G428">
        <v>1</v>
      </c>
      <c r="H428">
        <v>25</v>
      </c>
      <c r="I428">
        <v>25</v>
      </c>
    </row>
    <row r="429" spans="1:9" x14ac:dyDescent="0.25">
      <c r="A429">
        <v>428</v>
      </c>
      <c r="B429" s="1">
        <v>45809</v>
      </c>
      <c r="C429" t="s">
        <v>341</v>
      </c>
      <c r="D429" t="s">
        <v>12</v>
      </c>
      <c r="E429">
        <v>46</v>
      </c>
      <c r="F429" t="s">
        <v>15</v>
      </c>
      <c r="G429">
        <v>4</v>
      </c>
      <c r="H429">
        <v>50</v>
      </c>
      <c r="I429">
        <v>200</v>
      </c>
    </row>
    <row r="430" spans="1:9" x14ac:dyDescent="0.25">
      <c r="A430">
        <v>429</v>
      </c>
      <c r="B430" s="1">
        <v>45810</v>
      </c>
      <c r="C430" t="s">
        <v>342</v>
      </c>
      <c r="D430" t="s">
        <v>12</v>
      </c>
      <c r="E430">
        <v>25</v>
      </c>
      <c r="F430" t="s">
        <v>15</v>
      </c>
      <c r="G430">
        <v>2</v>
      </c>
      <c r="H430">
        <v>25</v>
      </c>
      <c r="I430">
        <v>50</v>
      </c>
    </row>
    <row r="431" spans="1:9" x14ac:dyDescent="0.25">
      <c r="A431">
        <v>430</v>
      </c>
      <c r="B431" s="1">
        <v>45810</v>
      </c>
      <c r="C431" t="s">
        <v>343</v>
      </c>
      <c r="D431" t="s">
        <v>9</v>
      </c>
      <c r="E431">
        <v>28</v>
      </c>
      <c r="F431" t="s">
        <v>15</v>
      </c>
      <c r="G431">
        <v>3</v>
      </c>
      <c r="H431">
        <v>300</v>
      </c>
      <c r="I431">
        <v>900</v>
      </c>
    </row>
    <row r="432" spans="1:9" x14ac:dyDescent="0.25">
      <c r="A432">
        <v>431</v>
      </c>
      <c r="B432" s="1">
        <v>45810</v>
      </c>
      <c r="C432" t="s">
        <v>344</v>
      </c>
      <c r="D432" t="s">
        <v>9</v>
      </c>
      <c r="E432">
        <v>58</v>
      </c>
      <c r="F432" t="s">
        <v>15</v>
      </c>
      <c r="G432">
        <v>4</v>
      </c>
      <c r="H432">
        <v>300</v>
      </c>
      <c r="I432">
        <v>1200</v>
      </c>
    </row>
    <row r="433" spans="1:9" x14ac:dyDescent="0.25">
      <c r="A433">
        <v>432</v>
      </c>
      <c r="B433" s="1">
        <v>45811</v>
      </c>
      <c r="C433" t="s">
        <v>345</v>
      </c>
      <c r="D433" t="s">
        <v>12</v>
      </c>
      <c r="E433">
        <v>54</v>
      </c>
      <c r="F433" t="s">
        <v>15</v>
      </c>
      <c r="G433">
        <v>2</v>
      </c>
      <c r="H433">
        <v>500</v>
      </c>
      <c r="I433">
        <v>1000</v>
      </c>
    </row>
    <row r="434" spans="1:9" x14ac:dyDescent="0.25">
      <c r="A434">
        <v>433</v>
      </c>
      <c r="B434" s="1">
        <v>45811</v>
      </c>
      <c r="C434" t="s">
        <v>346</v>
      </c>
      <c r="D434" t="s">
        <v>9</v>
      </c>
      <c r="E434">
        <v>31</v>
      </c>
      <c r="F434" t="s">
        <v>10</v>
      </c>
      <c r="G434">
        <v>4</v>
      </c>
      <c r="H434">
        <v>50</v>
      </c>
      <c r="I434">
        <v>200</v>
      </c>
    </row>
    <row r="435" spans="1:9" x14ac:dyDescent="0.25">
      <c r="A435">
        <v>434</v>
      </c>
      <c r="B435" s="1">
        <v>45811</v>
      </c>
      <c r="C435" t="s">
        <v>347</v>
      </c>
      <c r="D435" t="s">
        <v>12</v>
      </c>
      <c r="E435">
        <v>47</v>
      </c>
      <c r="F435" t="s">
        <v>15</v>
      </c>
      <c r="G435">
        <v>2</v>
      </c>
      <c r="H435">
        <v>25</v>
      </c>
      <c r="I435">
        <v>50</v>
      </c>
    </row>
    <row r="436" spans="1:9" x14ac:dyDescent="0.25">
      <c r="A436">
        <v>435</v>
      </c>
      <c r="B436" s="1">
        <v>45812</v>
      </c>
      <c r="C436" t="s">
        <v>348</v>
      </c>
      <c r="D436" t="s">
        <v>12</v>
      </c>
      <c r="E436">
        <v>52</v>
      </c>
      <c r="F436" t="s">
        <v>10</v>
      </c>
      <c r="G436">
        <v>3</v>
      </c>
      <c r="H436">
        <v>300</v>
      </c>
      <c r="I436">
        <v>900</v>
      </c>
    </row>
    <row r="437" spans="1:9" x14ac:dyDescent="0.25">
      <c r="A437">
        <v>436</v>
      </c>
      <c r="B437" s="1">
        <v>45812</v>
      </c>
      <c r="C437" t="s">
        <v>349</v>
      </c>
      <c r="D437" t="s">
        <v>9</v>
      </c>
      <c r="E437">
        <v>38</v>
      </c>
      <c r="F437" t="s">
        <v>13</v>
      </c>
      <c r="G437">
        <v>4</v>
      </c>
      <c r="H437">
        <v>30</v>
      </c>
      <c r="I437">
        <v>120</v>
      </c>
    </row>
    <row r="438" spans="1:9" x14ac:dyDescent="0.25">
      <c r="A438">
        <v>437</v>
      </c>
      <c r="B438" s="1">
        <v>45812</v>
      </c>
      <c r="C438" t="s">
        <v>350</v>
      </c>
      <c r="D438" t="s">
        <v>9</v>
      </c>
      <c r="E438">
        <v>54</v>
      </c>
      <c r="F438" t="s">
        <v>15</v>
      </c>
      <c r="G438">
        <v>4</v>
      </c>
      <c r="H438">
        <v>300</v>
      </c>
      <c r="I438">
        <v>1200</v>
      </c>
    </row>
    <row r="439" spans="1:9" x14ac:dyDescent="0.25">
      <c r="A439">
        <v>438</v>
      </c>
      <c r="B439" s="1">
        <v>45812</v>
      </c>
      <c r="C439" t="s">
        <v>351</v>
      </c>
      <c r="D439" t="s">
        <v>12</v>
      </c>
      <c r="E439">
        <v>22</v>
      </c>
      <c r="F439" t="s">
        <v>13</v>
      </c>
      <c r="G439">
        <v>1</v>
      </c>
      <c r="H439">
        <v>30</v>
      </c>
      <c r="I439">
        <v>30</v>
      </c>
    </row>
    <row r="440" spans="1:9" x14ac:dyDescent="0.25">
      <c r="A440">
        <v>439</v>
      </c>
      <c r="B440" s="1">
        <v>45813</v>
      </c>
      <c r="C440" t="s">
        <v>352</v>
      </c>
      <c r="D440" t="s">
        <v>12</v>
      </c>
      <c r="E440">
        <v>36</v>
      </c>
      <c r="F440" t="s">
        <v>13</v>
      </c>
      <c r="G440">
        <v>3</v>
      </c>
      <c r="H440">
        <v>25</v>
      </c>
      <c r="I440">
        <v>75</v>
      </c>
    </row>
    <row r="441" spans="1:9" x14ac:dyDescent="0.25">
      <c r="A441">
        <v>440</v>
      </c>
      <c r="B441" s="1">
        <v>45813</v>
      </c>
      <c r="C441" t="s">
        <v>353</v>
      </c>
      <c r="D441" t="s">
        <v>9</v>
      </c>
      <c r="E441">
        <v>31</v>
      </c>
      <c r="F441" t="s">
        <v>13</v>
      </c>
      <c r="G441">
        <v>2</v>
      </c>
      <c r="H441">
        <v>300</v>
      </c>
      <c r="I441">
        <v>600</v>
      </c>
    </row>
    <row r="442" spans="1:9" x14ac:dyDescent="0.25">
      <c r="A442">
        <v>441</v>
      </c>
      <c r="B442" s="1">
        <v>45814</v>
      </c>
      <c r="C442" t="s">
        <v>354</v>
      </c>
      <c r="D442" t="s">
        <v>12</v>
      </c>
      <c r="E442">
        <v>43</v>
      </c>
      <c r="F442" t="s">
        <v>10</v>
      </c>
      <c r="G442">
        <v>4</v>
      </c>
      <c r="H442">
        <v>300</v>
      </c>
      <c r="I442">
        <v>1200</v>
      </c>
    </row>
    <row r="443" spans="1:9" x14ac:dyDescent="0.25">
      <c r="A443">
        <v>442</v>
      </c>
      <c r="B443" s="1">
        <v>45814</v>
      </c>
      <c r="C443" t="s">
        <v>355</v>
      </c>
      <c r="D443" t="s">
        <v>9</v>
      </c>
      <c r="E443">
        <v>21</v>
      </c>
      <c r="F443" t="s">
        <v>13</v>
      </c>
      <c r="G443">
        <v>4</v>
      </c>
      <c r="H443">
        <v>25</v>
      </c>
      <c r="I443">
        <v>100</v>
      </c>
    </row>
    <row r="444" spans="1:9" x14ac:dyDescent="0.25">
      <c r="A444">
        <v>443</v>
      </c>
      <c r="B444" s="1">
        <v>45814</v>
      </c>
      <c r="C444" t="s">
        <v>356</v>
      </c>
      <c r="D444" t="s">
        <v>12</v>
      </c>
      <c r="E444">
        <v>42</v>
      </c>
      <c r="F444" t="s">
        <v>13</v>
      </c>
      <c r="G444">
        <v>2</v>
      </c>
      <c r="H444">
        <v>300</v>
      </c>
      <c r="I444">
        <v>600</v>
      </c>
    </row>
    <row r="445" spans="1:9" x14ac:dyDescent="0.25">
      <c r="A445">
        <v>444</v>
      </c>
      <c r="B445" s="1">
        <v>45814</v>
      </c>
      <c r="C445" t="s">
        <v>357</v>
      </c>
      <c r="D445" t="s">
        <v>9</v>
      </c>
      <c r="E445">
        <v>62</v>
      </c>
      <c r="F445" t="s">
        <v>13</v>
      </c>
      <c r="G445">
        <v>3</v>
      </c>
      <c r="H445">
        <v>30</v>
      </c>
      <c r="I445">
        <v>90</v>
      </c>
    </row>
    <row r="446" spans="1:9" x14ac:dyDescent="0.25">
      <c r="A446">
        <v>445</v>
      </c>
      <c r="B446" s="1">
        <v>45815</v>
      </c>
      <c r="C446" t="s">
        <v>358</v>
      </c>
      <c r="D446" t="s">
        <v>9</v>
      </c>
      <c r="E446">
        <v>59</v>
      </c>
      <c r="F446" t="s">
        <v>15</v>
      </c>
      <c r="G446">
        <v>1</v>
      </c>
      <c r="H446">
        <v>300</v>
      </c>
      <c r="I446">
        <v>300</v>
      </c>
    </row>
    <row r="447" spans="1:9" x14ac:dyDescent="0.25">
      <c r="A447">
        <v>446</v>
      </c>
      <c r="B447" s="1">
        <v>45815</v>
      </c>
      <c r="C447" t="s">
        <v>359</v>
      </c>
      <c r="D447" t="s">
        <v>9</v>
      </c>
      <c r="E447">
        <v>42</v>
      </c>
      <c r="F447" t="s">
        <v>15</v>
      </c>
      <c r="G447">
        <v>1</v>
      </c>
      <c r="H447">
        <v>50</v>
      </c>
      <c r="I447">
        <v>50</v>
      </c>
    </row>
    <row r="448" spans="1:9" x14ac:dyDescent="0.25">
      <c r="A448">
        <v>447</v>
      </c>
      <c r="B448" s="1">
        <v>45816</v>
      </c>
      <c r="C448" t="s">
        <v>360</v>
      </c>
      <c r="D448" t="s">
        <v>12</v>
      </c>
      <c r="E448">
        <v>35</v>
      </c>
      <c r="F448" t="s">
        <v>10</v>
      </c>
      <c r="G448">
        <v>1</v>
      </c>
      <c r="H448">
        <v>500</v>
      </c>
      <c r="I448">
        <v>500</v>
      </c>
    </row>
    <row r="449" spans="1:9" x14ac:dyDescent="0.25">
      <c r="A449">
        <v>448</v>
      </c>
      <c r="B449" s="1">
        <v>45816</v>
      </c>
      <c r="C449" t="s">
        <v>361</v>
      </c>
      <c r="D449" t="s">
        <v>12</v>
      </c>
      <c r="E449">
        <v>57</v>
      </c>
      <c r="F449" t="s">
        <v>10</v>
      </c>
      <c r="G449">
        <v>2</v>
      </c>
      <c r="H449">
        <v>30</v>
      </c>
      <c r="I449">
        <v>60</v>
      </c>
    </row>
    <row r="450" spans="1:9" x14ac:dyDescent="0.25">
      <c r="A450">
        <v>449</v>
      </c>
      <c r="B450" s="1">
        <v>45817</v>
      </c>
      <c r="C450" t="s">
        <v>362</v>
      </c>
      <c r="D450" t="s">
        <v>9</v>
      </c>
      <c r="E450">
        <v>25</v>
      </c>
      <c r="F450" t="s">
        <v>15</v>
      </c>
      <c r="G450">
        <v>4</v>
      </c>
      <c r="H450">
        <v>50</v>
      </c>
      <c r="I450">
        <v>200</v>
      </c>
    </row>
    <row r="451" spans="1:9" x14ac:dyDescent="0.25">
      <c r="A451">
        <v>450</v>
      </c>
      <c r="B451" s="1">
        <v>45817</v>
      </c>
      <c r="C451" t="s">
        <v>363</v>
      </c>
      <c r="D451" t="s">
        <v>12</v>
      </c>
      <c r="E451">
        <v>56</v>
      </c>
      <c r="F451" t="s">
        <v>10</v>
      </c>
      <c r="G451">
        <v>2</v>
      </c>
      <c r="H451">
        <v>25</v>
      </c>
      <c r="I451">
        <v>50</v>
      </c>
    </row>
    <row r="452" spans="1:9" x14ac:dyDescent="0.25">
      <c r="A452">
        <v>451</v>
      </c>
      <c r="B452" s="1">
        <v>45817</v>
      </c>
      <c r="C452" t="s">
        <v>364</v>
      </c>
      <c r="D452" t="s">
        <v>9</v>
      </c>
      <c r="E452">
        <v>57</v>
      </c>
      <c r="F452" t="s">
        <v>15</v>
      </c>
      <c r="G452">
        <v>1</v>
      </c>
      <c r="H452">
        <v>30</v>
      </c>
      <c r="I452">
        <v>30</v>
      </c>
    </row>
    <row r="453" spans="1:9" x14ac:dyDescent="0.25">
      <c r="A453">
        <v>452</v>
      </c>
      <c r="B453" s="1">
        <v>45818</v>
      </c>
      <c r="C453" t="s">
        <v>365</v>
      </c>
      <c r="D453" t="s">
        <v>9</v>
      </c>
      <c r="E453">
        <v>31</v>
      </c>
      <c r="F453" t="s">
        <v>13</v>
      </c>
      <c r="G453">
        <v>3</v>
      </c>
      <c r="H453">
        <v>500</v>
      </c>
      <c r="I453">
        <v>1500</v>
      </c>
    </row>
    <row r="454" spans="1:9" x14ac:dyDescent="0.25">
      <c r="A454">
        <v>453</v>
      </c>
      <c r="B454" s="1">
        <v>45818</v>
      </c>
      <c r="C454" t="s">
        <v>366</v>
      </c>
      <c r="D454" t="s">
        <v>12</v>
      </c>
      <c r="E454">
        <v>49</v>
      </c>
      <c r="F454" t="s">
        <v>13</v>
      </c>
      <c r="G454">
        <v>2</v>
      </c>
      <c r="H454">
        <v>500</v>
      </c>
      <c r="I454">
        <v>1000</v>
      </c>
    </row>
    <row r="455" spans="1:9" x14ac:dyDescent="0.25">
      <c r="A455">
        <v>454</v>
      </c>
      <c r="B455" s="1">
        <v>45818</v>
      </c>
      <c r="C455" t="s">
        <v>367</v>
      </c>
      <c r="D455" t="s">
        <v>12</v>
      </c>
      <c r="E455">
        <v>55</v>
      </c>
      <c r="F455" t="s">
        <v>10</v>
      </c>
      <c r="G455">
        <v>1</v>
      </c>
      <c r="H455">
        <v>25</v>
      </c>
      <c r="I455">
        <v>25</v>
      </c>
    </row>
    <row r="456" spans="1:9" x14ac:dyDescent="0.25">
      <c r="A456">
        <v>455</v>
      </c>
      <c r="B456" s="1">
        <v>45818</v>
      </c>
      <c r="C456" t="s">
        <v>368</v>
      </c>
      <c r="D456" t="s">
        <v>9</v>
      </c>
      <c r="E456">
        <v>50</v>
      </c>
      <c r="F456" t="s">
        <v>15</v>
      </c>
      <c r="G456">
        <v>4</v>
      </c>
      <c r="H456">
        <v>25</v>
      </c>
      <c r="I456">
        <v>100</v>
      </c>
    </row>
    <row r="457" spans="1:9" x14ac:dyDescent="0.25">
      <c r="A457">
        <v>456</v>
      </c>
      <c r="B457" s="1">
        <v>45819</v>
      </c>
      <c r="C457" t="s">
        <v>369</v>
      </c>
      <c r="D457" t="s">
        <v>12</v>
      </c>
      <c r="E457">
        <v>40</v>
      </c>
      <c r="F457" t="s">
        <v>15</v>
      </c>
      <c r="G457">
        <v>2</v>
      </c>
      <c r="H457">
        <v>30</v>
      </c>
      <c r="I457">
        <v>60</v>
      </c>
    </row>
    <row r="458" spans="1:9" x14ac:dyDescent="0.25">
      <c r="A458">
        <v>457</v>
      </c>
      <c r="B458" s="1">
        <v>45819</v>
      </c>
      <c r="C458" t="s">
        <v>370</v>
      </c>
      <c r="D458" t="s">
        <v>12</v>
      </c>
      <c r="E458">
        <v>32</v>
      </c>
      <c r="F458" t="s">
        <v>10</v>
      </c>
      <c r="G458">
        <v>3</v>
      </c>
      <c r="H458">
        <v>300</v>
      </c>
      <c r="I458">
        <v>900</v>
      </c>
    </row>
    <row r="459" spans="1:9" x14ac:dyDescent="0.25">
      <c r="A459">
        <v>458</v>
      </c>
      <c r="B459" s="1">
        <v>45819</v>
      </c>
      <c r="C459" t="s">
        <v>371</v>
      </c>
      <c r="D459" t="s">
        <v>9</v>
      </c>
      <c r="E459">
        <v>50</v>
      </c>
      <c r="F459" t="s">
        <v>15</v>
      </c>
      <c r="G459">
        <v>4</v>
      </c>
      <c r="H459">
        <v>25</v>
      </c>
      <c r="I459">
        <v>100</v>
      </c>
    </row>
    <row r="460" spans="1:9" x14ac:dyDescent="0.25">
      <c r="A460">
        <v>459</v>
      </c>
      <c r="B460" s="1">
        <v>45819</v>
      </c>
      <c r="C460" t="s">
        <v>372</v>
      </c>
      <c r="D460" t="s">
        <v>9</v>
      </c>
      <c r="E460">
        <v>42</v>
      </c>
      <c r="F460" t="s">
        <v>13</v>
      </c>
      <c r="G460">
        <v>4</v>
      </c>
      <c r="H460">
        <v>300</v>
      </c>
      <c r="I460">
        <v>1200</v>
      </c>
    </row>
    <row r="461" spans="1:9" x14ac:dyDescent="0.25">
      <c r="A461">
        <v>460</v>
      </c>
      <c r="B461" s="1">
        <v>45819</v>
      </c>
      <c r="C461" t="s">
        <v>373</v>
      </c>
      <c r="D461" t="s">
        <v>12</v>
      </c>
      <c r="E461">
        <v>34</v>
      </c>
      <c r="F461" t="s">
        <v>10</v>
      </c>
      <c r="G461">
        <v>1</v>
      </c>
      <c r="H461">
        <v>50</v>
      </c>
      <c r="I461">
        <v>50</v>
      </c>
    </row>
    <row r="462" spans="1:9" x14ac:dyDescent="0.25">
      <c r="A462">
        <v>461</v>
      </c>
      <c r="B462" s="1">
        <v>45820</v>
      </c>
      <c r="C462" t="s">
        <v>374</v>
      </c>
      <c r="D462" t="s">
        <v>9</v>
      </c>
      <c r="E462">
        <v>50</v>
      </c>
      <c r="F462" t="s">
        <v>10</v>
      </c>
      <c r="G462">
        <v>2</v>
      </c>
      <c r="H462">
        <v>500</v>
      </c>
      <c r="I462">
        <v>1000</v>
      </c>
    </row>
    <row r="463" spans="1:9" x14ac:dyDescent="0.25">
      <c r="A463">
        <v>462</v>
      </c>
      <c r="B463" s="1">
        <v>45821</v>
      </c>
      <c r="C463" t="s">
        <v>375</v>
      </c>
      <c r="D463" t="s">
        <v>9</v>
      </c>
      <c r="E463">
        <v>64</v>
      </c>
      <c r="F463" t="s">
        <v>15</v>
      </c>
      <c r="G463">
        <v>4</v>
      </c>
      <c r="H463">
        <v>300</v>
      </c>
      <c r="I463">
        <v>1200</v>
      </c>
    </row>
    <row r="464" spans="1:9" x14ac:dyDescent="0.25">
      <c r="A464">
        <v>463</v>
      </c>
      <c r="B464" s="1">
        <v>45822</v>
      </c>
      <c r="C464" t="s">
        <v>376</v>
      </c>
      <c r="D464" t="s">
        <v>12</v>
      </c>
      <c r="E464">
        <v>19</v>
      </c>
      <c r="F464" t="s">
        <v>10</v>
      </c>
      <c r="G464">
        <v>3</v>
      </c>
      <c r="H464">
        <v>500</v>
      </c>
      <c r="I464">
        <v>1500</v>
      </c>
    </row>
    <row r="465" spans="1:9" x14ac:dyDescent="0.25">
      <c r="A465">
        <v>464</v>
      </c>
      <c r="B465" s="1">
        <v>45823</v>
      </c>
      <c r="C465" t="s">
        <v>377</v>
      </c>
      <c r="D465" t="s">
        <v>9</v>
      </c>
      <c r="E465">
        <v>31</v>
      </c>
      <c r="F465" t="s">
        <v>15</v>
      </c>
      <c r="G465">
        <v>2</v>
      </c>
      <c r="H465">
        <v>300</v>
      </c>
      <c r="I465">
        <v>600</v>
      </c>
    </row>
    <row r="466" spans="1:9" x14ac:dyDescent="0.25">
      <c r="A466">
        <v>465</v>
      </c>
      <c r="B466" s="1">
        <v>45823</v>
      </c>
      <c r="C466" t="s">
        <v>378</v>
      </c>
      <c r="D466" t="s">
        <v>9</v>
      </c>
      <c r="E466">
        <v>57</v>
      </c>
      <c r="F466" t="s">
        <v>15</v>
      </c>
      <c r="G466">
        <v>3</v>
      </c>
      <c r="H466">
        <v>50</v>
      </c>
      <c r="I466">
        <v>150</v>
      </c>
    </row>
    <row r="467" spans="1:9" x14ac:dyDescent="0.25">
      <c r="A467">
        <v>466</v>
      </c>
      <c r="B467" s="1">
        <v>45824</v>
      </c>
      <c r="C467" t="s">
        <v>379</v>
      </c>
      <c r="D467" t="s">
        <v>12</v>
      </c>
      <c r="E467">
        <v>57</v>
      </c>
      <c r="F467" t="s">
        <v>15</v>
      </c>
      <c r="G467">
        <v>4</v>
      </c>
      <c r="H467">
        <v>25</v>
      </c>
      <c r="I467">
        <v>100</v>
      </c>
    </row>
    <row r="468" spans="1:9" x14ac:dyDescent="0.25">
      <c r="A468">
        <v>467</v>
      </c>
      <c r="B468" s="1">
        <v>45824</v>
      </c>
      <c r="C468" t="s">
        <v>380</v>
      </c>
      <c r="D468" t="s">
        <v>12</v>
      </c>
      <c r="E468">
        <v>56</v>
      </c>
      <c r="F468" t="s">
        <v>15</v>
      </c>
      <c r="G468">
        <v>3</v>
      </c>
      <c r="H468">
        <v>50</v>
      </c>
      <c r="I468">
        <v>150</v>
      </c>
    </row>
    <row r="469" spans="1:9" x14ac:dyDescent="0.25">
      <c r="A469">
        <v>468</v>
      </c>
      <c r="B469" s="1">
        <v>45825</v>
      </c>
      <c r="C469" t="s">
        <v>381</v>
      </c>
      <c r="D469" t="s">
        <v>9</v>
      </c>
      <c r="E469">
        <v>23</v>
      </c>
      <c r="F469" t="s">
        <v>15</v>
      </c>
      <c r="G469">
        <v>1</v>
      </c>
      <c r="H469">
        <v>25</v>
      </c>
      <c r="I469">
        <v>25</v>
      </c>
    </row>
    <row r="470" spans="1:9" x14ac:dyDescent="0.25">
      <c r="A470">
        <v>469</v>
      </c>
      <c r="B470" s="1">
        <v>45825</v>
      </c>
      <c r="C470" t="s">
        <v>382</v>
      </c>
      <c r="D470" t="s">
        <v>9</v>
      </c>
      <c r="E470">
        <v>23</v>
      </c>
      <c r="F470" t="s">
        <v>10</v>
      </c>
      <c r="G470">
        <v>3</v>
      </c>
      <c r="H470">
        <v>25</v>
      </c>
      <c r="I470">
        <v>75</v>
      </c>
    </row>
    <row r="471" spans="1:9" x14ac:dyDescent="0.25">
      <c r="A471">
        <v>470</v>
      </c>
      <c r="B471" s="1">
        <v>45825</v>
      </c>
      <c r="C471" t="s">
        <v>383</v>
      </c>
      <c r="D471" t="s">
        <v>12</v>
      </c>
      <c r="E471">
        <v>20</v>
      </c>
      <c r="F471" t="s">
        <v>13</v>
      </c>
      <c r="G471">
        <v>2</v>
      </c>
      <c r="H471">
        <v>500</v>
      </c>
      <c r="I471">
        <v>1000</v>
      </c>
    </row>
    <row r="472" spans="1:9" x14ac:dyDescent="0.25">
      <c r="A472">
        <v>471</v>
      </c>
      <c r="B472" s="1">
        <v>45826</v>
      </c>
      <c r="C472" t="s">
        <v>384</v>
      </c>
      <c r="D472" t="s">
        <v>12</v>
      </c>
      <c r="E472">
        <v>24</v>
      </c>
      <c r="F472" t="s">
        <v>13</v>
      </c>
      <c r="G472">
        <v>3</v>
      </c>
      <c r="H472">
        <v>50</v>
      </c>
      <c r="I472">
        <v>150</v>
      </c>
    </row>
    <row r="473" spans="1:9" x14ac:dyDescent="0.25">
      <c r="A473">
        <v>472</v>
      </c>
      <c r="B473" s="1">
        <v>45827</v>
      </c>
      <c r="C473" t="s">
        <v>385</v>
      </c>
      <c r="D473" t="s">
        <v>12</v>
      </c>
      <c r="E473">
        <v>25</v>
      </c>
      <c r="F473" t="s">
        <v>10</v>
      </c>
      <c r="G473">
        <v>3</v>
      </c>
      <c r="H473">
        <v>300</v>
      </c>
      <c r="I473">
        <v>900</v>
      </c>
    </row>
    <row r="474" spans="1:9" x14ac:dyDescent="0.25">
      <c r="A474">
        <v>473</v>
      </c>
      <c r="B474" s="1">
        <v>45827</v>
      </c>
      <c r="C474" t="s">
        <v>386</v>
      </c>
      <c r="D474" t="s">
        <v>12</v>
      </c>
      <c r="E474">
        <v>59</v>
      </c>
      <c r="F474" t="s">
        <v>10</v>
      </c>
      <c r="G474">
        <v>1</v>
      </c>
      <c r="H474">
        <v>50</v>
      </c>
      <c r="I474">
        <v>50</v>
      </c>
    </row>
    <row r="475" spans="1:9" x14ac:dyDescent="0.25">
      <c r="A475">
        <v>474</v>
      </c>
      <c r="B475" s="1">
        <v>45827</v>
      </c>
      <c r="C475" t="s">
        <v>387</v>
      </c>
      <c r="D475" t="s">
        <v>9</v>
      </c>
      <c r="E475">
        <v>32</v>
      </c>
      <c r="F475" t="s">
        <v>13</v>
      </c>
      <c r="G475">
        <v>3</v>
      </c>
      <c r="H475">
        <v>500</v>
      </c>
      <c r="I475">
        <v>1500</v>
      </c>
    </row>
    <row r="476" spans="1:9" x14ac:dyDescent="0.25">
      <c r="A476">
        <v>475</v>
      </c>
      <c r="B476" s="1">
        <v>45827</v>
      </c>
      <c r="C476" t="s">
        <v>388</v>
      </c>
      <c r="D476" t="s">
        <v>12</v>
      </c>
      <c r="E476">
        <v>64</v>
      </c>
      <c r="F476" t="s">
        <v>13</v>
      </c>
      <c r="G476">
        <v>3</v>
      </c>
      <c r="H476">
        <v>25</v>
      </c>
      <c r="I476">
        <v>75</v>
      </c>
    </row>
    <row r="477" spans="1:9" x14ac:dyDescent="0.25">
      <c r="A477">
        <v>476</v>
      </c>
      <c r="B477" s="1">
        <v>45827</v>
      </c>
      <c r="C477" t="s">
        <v>389</v>
      </c>
      <c r="D477" t="s">
        <v>12</v>
      </c>
      <c r="E477">
        <v>46</v>
      </c>
      <c r="F477" t="s">
        <v>13</v>
      </c>
      <c r="G477">
        <v>4</v>
      </c>
      <c r="H477">
        <v>500</v>
      </c>
      <c r="I477">
        <v>2000</v>
      </c>
    </row>
    <row r="478" spans="1:9" x14ac:dyDescent="0.25">
      <c r="A478">
        <v>477</v>
      </c>
      <c r="B478" s="1">
        <v>45828</v>
      </c>
      <c r="C478" t="s">
        <v>390</v>
      </c>
      <c r="D478" t="s">
        <v>9</v>
      </c>
      <c r="E478">
        <v>50</v>
      </c>
      <c r="F478" t="s">
        <v>13</v>
      </c>
      <c r="G478">
        <v>4</v>
      </c>
      <c r="H478">
        <v>30</v>
      </c>
      <c r="I478">
        <v>120</v>
      </c>
    </row>
    <row r="479" spans="1:9" x14ac:dyDescent="0.25">
      <c r="A479">
        <v>478</v>
      </c>
      <c r="B479" s="1">
        <v>45828</v>
      </c>
      <c r="C479" t="s">
        <v>391</v>
      </c>
      <c r="D479" t="s">
        <v>12</v>
      </c>
      <c r="E479">
        <v>47</v>
      </c>
      <c r="F479" t="s">
        <v>13</v>
      </c>
      <c r="G479">
        <v>6</v>
      </c>
      <c r="H479">
        <v>30</v>
      </c>
      <c r="I479">
        <v>180</v>
      </c>
    </row>
    <row r="480" spans="1:9" x14ac:dyDescent="0.25">
      <c r="A480">
        <v>479</v>
      </c>
      <c r="B480" s="1">
        <v>45829</v>
      </c>
      <c r="C480" t="s">
        <v>392</v>
      </c>
      <c r="D480" t="s">
        <v>9</v>
      </c>
      <c r="E480">
        <v>56</v>
      </c>
      <c r="F480" t="s">
        <v>15</v>
      </c>
      <c r="G480">
        <v>4</v>
      </c>
      <c r="H480">
        <v>300</v>
      </c>
      <c r="I480">
        <v>1200</v>
      </c>
    </row>
    <row r="481" spans="1:9" x14ac:dyDescent="0.25">
      <c r="A481">
        <v>480</v>
      </c>
      <c r="B481" s="1">
        <v>45829</v>
      </c>
      <c r="C481" t="s">
        <v>393</v>
      </c>
      <c r="D481" t="s">
        <v>12</v>
      </c>
      <c r="E481">
        <v>44</v>
      </c>
      <c r="F481" t="s">
        <v>10</v>
      </c>
      <c r="G481">
        <v>4</v>
      </c>
      <c r="H481">
        <v>500</v>
      </c>
      <c r="I481">
        <v>2000</v>
      </c>
    </row>
    <row r="482" spans="1:9" x14ac:dyDescent="0.25">
      <c r="A482">
        <v>481</v>
      </c>
      <c r="B482" s="1">
        <v>45830</v>
      </c>
      <c r="C482" t="s">
        <v>394</v>
      </c>
      <c r="D482" t="s">
        <v>12</v>
      </c>
      <c r="E482">
        <v>53</v>
      </c>
      <c r="F482" t="s">
        <v>15</v>
      </c>
      <c r="G482">
        <v>4</v>
      </c>
      <c r="H482">
        <v>300</v>
      </c>
      <c r="I482">
        <v>1200</v>
      </c>
    </row>
    <row r="483" spans="1:9" x14ac:dyDescent="0.25">
      <c r="A483">
        <v>482</v>
      </c>
      <c r="B483" s="1">
        <v>45830</v>
      </c>
      <c r="C483" t="s">
        <v>395</v>
      </c>
      <c r="D483" t="s">
        <v>12</v>
      </c>
      <c r="E483">
        <v>46</v>
      </c>
      <c r="F483" t="s">
        <v>13</v>
      </c>
      <c r="G483">
        <v>4</v>
      </c>
      <c r="H483">
        <v>300</v>
      </c>
      <c r="I483">
        <v>1200</v>
      </c>
    </row>
    <row r="484" spans="1:9" x14ac:dyDescent="0.25">
      <c r="A484">
        <v>483</v>
      </c>
      <c r="B484" s="1">
        <v>45830</v>
      </c>
      <c r="C484" t="s">
        <v>396</v>
      </c>
      <c r="D484" t="s">
        <v>9</v>
      </c>
      <c r="E484">
        <v>55</v>
      </c>
      <c r="F484" t="s">
        <v>13</v>
      </c>
      <c r="G484">
        <v>1</v>
      </c>
      <c r="H484">
        <v>30</v>
      </c>
      <c r="I484">
        <v>30</v>
      </c>
    </row>
    <row r="485" spans="1:9" x14ac:dyDescent="0.25">
      <c r="A485">
        <v>484</v>
      </c>
      <c r="B485" s="1">
        <v>45830</v>
      </c>
      <c r="C485" t="s">
        <v>397</v>
      </c>
      <c r="D485" t="s">
        <v>9</v>
      </c>
      <c r="E485">
        <v>50</v>
      </c>
      <c r="F485" t="s">
        <v>13</v>
      </c>
      <c r="G485">
        <v>4</v>
      </c>
      <c r="H485">
        <v>300</v>
      </c>
      <c r="I485">
        <v>1200</v>
      </c>
    </row>
    <row r="486" spans="1:9" x14ac:dyDescent="0.25">
      <c r="A486">
        <v>485</v>
      </c>
      <c r="B486" s="1">
        <v>45831</v>
      </c>
      <c r="C486" t="s">
        <v>398</v>
      </c>
      <c r="D486" t="s">
        <v>12</v>
      </c>
      <c r="E486">
        <v>54</v>
      </c>
      <c r="F486" t="s">
        <v>15</v>
      </c>
      <c r="G486">
        <v>1</v>
      </c>
      <c r="H486">
        <v>30</v>
      </c>
      <c r="I486">
        <v>30</v>
      </c>
    </row>
    <row r="487" spans="1:9" x14ac:dyDescent="0.25">
      <c r="A487">
        <v>486</v>
      </c>
      <c r="B487" s="1">
        <v>45831</v>
      </c>
      <c r="C487" t="s">
        <v>399</v>
      </c>
      <c r="D487" t="s">
        <v>9</v>
      </c>
      <c r="E487">
        <v>44</v>
      </c>
      <c r="F487" t="s">
        <v>15</v>
      </c>
      <c r="G487">
        <v>1</v>
      </c>
      <c r="H487">
        <v>25</v>
      </c>
      <c r="I487">
        <v>25</v>
      </c>
    </row>
    <row r="488" spans="1:9" x14ac:dyDescent="0.25">
      <c r="A488">
        <v>487</v>
      </c>
      <c r="B488" s="1">
        <v>45832</v>
      </c>
      <c r="C488" t="s">
        <v>400</v>
      </c>
      <c r="D488" t="s">
        <v>9</v>
      </c>
      <c r="E488">
        <v>50</v>
      </c>
      <c r="F488" t="s">
        <v>13</v>
      </c>
      <c r="G488">
        <v>4</v>
      </c>
      <c r="H488">
        <v>500</v>
      </c>
      <c r="I488">
        <v>2000</v>
      </c>
    </row>
    <row r="489" spans="1:9" x14ac:dyDescent="0.25">
      <c r="A489">
        <v>488</v>
      </c>
      <c r="B489" s="1">
        <v>45832</v>
      </c>
      <c r="C489" t="s">
        <v>401</v>
      </c>
      <c r="D489" t="s">
        <v>9</v>
      </c>
      <c r="E489">
        <v>21</v>
      </c>
      <c r="F489" t="s">
        <v>15</v>
      </c>
      <c r="G489">
        <v>3</v>
      </c>
      <c r="H489">
        <v>300</v>
      </c>
      <c r="I489">
        <v>900</v>
      </c>
    </row>
    <row r="490" spans="1:9" x14ac:dyDescent="0.25">
      <c r="A490">
        <v>489</v>
      </c>
      <c r="B490" s="1">
        <v>45832</v>
      </c>
      <c r="C490" t="s">
        <v>402</v>
      </c>
      <c r="D490" t="s">
        <v>9</v>
      </c>
      <c r="E490">
        <v>39</v>
      </c>
      <c r="F490" t="s">
        <v>15</v>
      </c>
      <c r="G490">
        <v>1</v>
      </c>
      <c r="H490">
        <v>30</v>
      </c>
      <c r="I490">
        <v>30</v>
      </c>
    </row>
    <row r="491" spans="1:9" x14ac:dyDescent="0.25">
      <c r="A491">
        <v>490</v>
      </c>
      <c r="B491" s="1">
        <v>45832</v>
      </c>
      <c r="C491" t="s">
        <v>403</v>
      </c>
      <c r="D491" t="s">
        <v>9</v>
      </c>
      <c r="E491">
        <v>19</v>
      </c>
      <c r="F491" t="s">
        <v>13</v>
      </c>
      <c r="G491">
        <v>3</v>
      </c>
      <c r="H491">
        <v>50</v>
      </c>
      <c r="I491">
        <v>150</v>
      </c>
    </row>
    <row r="492" spans="1:9" x14ac:dyDescent="0.25">
      <c r="A492">
        <v>491</v>
      </c>
      <c r="B492" s="1">
        <v>45832</v>
      </c>
      <c r="C492" t="s">
        <v>404</v>
      </c>
      <c r="D492" t="s">
        <v>9</v>
      </c>
      <c r="E492">
        <v>27</v>
      </c>
      <c r="F492" t="s">
        <v>15</v>
      </c>
      <c r="G492">
        <v>3</v>
      </c>
      <c r="H492">
        <v>300</v>
      </c>
      <c r="I492">
        <v>900</v>
      </c>
    </row>
    <row r="493" spans="1:9" x14ac:dyDescent="0.25">
      <c r="A493">
        <v>492</v>
      </c>
      <c r="B493" s="1">
        <v>45833</v>
      </c>
      <c r="C493" t="s">
        <v>405</v>
      </c>
      <c r="D493" t="s">
        <v>12</v>
      </c>
      <c r="E493">
        <v>22</v>
      </c>
      <c r="F493" t="s">
        <v>10</v>
      </c>
      <c r="G493">
        <v>4</v>
      </c>
      <c r="H493">
        <v>25</v>
      </c>
      <c r="I493">
        <v>100</v>
      </c>
    </row>
    <row r="494" spans="1:9" x14ac:dyDescent="0.25">
      <c r="A494">
        <v>493</v>
      </c>
      <c r="B494" s="1">
        <v>45834</v>
      </c>
      <c r="C494" t="s">
        <v>406</v>
      </c>
      <c r="D494" t="s">
        <v>12</v>
      </c>
      <c r="E494">
        <v>27</v>
      </c>
      <c r="F494" t="s">
        <v>10</v>
      </c>
      <c r="G494">
        <v>2</v>
      </c>
      <c r="H494">
        <v>25</v>
      </c>
      <c r="I494">
        <v>50</v>
      </c>
    </row>
    <row r="495" spans="1:9" x14ac:dyDescent="0.25">
      <c r="A495">
        <v>494</v>
      </c>
      <c r="B495" s="1">
        <v>45834</v>
      </c>
      <c r="C495" t="s">
        <v>407</v>
      </c>
      <c r="D495" t="s">
        <v>9</v>
      </c>
      <c r="E495">
        <v>50</v>
      </c>
      <c r="F495" t="s">
        <v>10</v>
      </c>
      <c r="G495">
        <v>4</v>
      </c>
      <c r="H495">
        <v>50</v>
      </c>
      <c r="I495">
        <v>200</v>
      </c>
    </row>
    <row r="496" spans="1:9" x14ac:dyDescent="0.25">
      <c r="A496">
        <v>495</v>
      </c>
      <c r="B496" s="1">
        <v>45834</v>
      </c>
      <c r="C496" t="s">
        <v>408</v>
      </c>
      <c r="D496" t="s">
        <v>12</v>
      </c>
      <c r="E496">
        <v>55</v>
      </c>
      <c r="F496" t="s">
        <v>10</v>
      </c>
      <c r="G496">
        <v>2</v>
      </c>
      <c r="H496">
        <v>30</v>
      </c>
      <c r="I496">
        <v>60</v>
      </c>
    </row>
    <row r="497" spans="1:9" x14ac:dyDescent="0.25">
      <c r="A497">
        <v>496</v>
      </c>
      <c r="B497" s="1">
        <v>45835</v>
      </c>
      <c r="C497" t="s">
        <v>409</v>
      </c>
      <c r="D497" t="s">
        <v>12</v>
      </c>
      <c r="E497">
        <v>30</v>
      </c>
      <c r="F497" t="s">
        <v>13</v>
      </c>
      <c r="G497">
        <v>2</v>
      </c>
      <c r="H497">
        <v>300</v>
      </c>
      <c r="I497">
        <v>600</v>
      </c>
    </row>
    <row r="498" spans="1:9" x14ac:dyDescent="0.25">
      <c r="A498">
        <v>497</v>
      </c>
      <c r="B498" s="1">
        <v>45836</v>
      </c>
      <c r="C498" t="s">
        <v>410</v>
      </c>
      <c r="D498" t="s">
        <v>12</v>
      </c>
      <c r="E498">
        <v>48</v>
      </c>
      <c r="F498" t="s">
        <v>13</v>
      </c>
      <c r="G498">
        <v>4</v>
      </c>
      <c r="H498">
        <v>30</v>
      </c>
      <c r="I498">
        <v>120</v>
      </c>
    </row>
    <row r="499" spans="1:9" x14ac:dyDescent="0.25">
      <c r="A499">
        <v>498</v>
      </c>
      <c r="B499" s="1">
        <v>45837</v>
      </c>
      <c r="C499" t="s">
        <v>411</v>
      </c>
      <c r="D499" t="s">
        <v>12</v>
      </c>
      <c r="E499">
        <v>64</v>
      </c>
      <c r="F499" t="s">
        <v>13</v>
      </c>
      <c r="G499">
        <v>4</v>
      </c>
      <c r="H499">
        <v>25</v>
      </c>
      <c r="I499">
        <v>100</v>
      </c>
    </row>
    <row r="500" spans="1:9" x14ac:dyDescent="0.25">
      <c r="A500">
        <v>499</v>
      </c>
      <c r="B500" s="1">
        <v>45837</v>
      </c>
      <c r="C500" t="s">
        <v>412</v>
      </c>
      <c r="D500" t="s">
        <v>9</v>
      </c>
      <c r="E500">
        <v>53</v>
      </c>
      <c r="F500" t="s">
        <v>10</v>
      </c>
      <c r="G500">
        <v>2</v>
      </c>
      <c r="H500">
        <v>30</v>
      </c>
      <c r="I500">
        <v>60</v>
      </c>
    </row>
    <row r="501" spans="1:9" x14ac:dyDescent="0.25">
      <c r="A501">
        <v>500</v>
      </c>
      <c r="B501" s="1">
        <v>45837</v>
      </c>
      <c r="C501" t="s">
        <v>413</v>
      </c>
      <c r="D501" t="s">
        <v>12</v>
      </c>
      <c r="E501">
        <v>62</v>
      </c>
      <c r="F501" t="s">
        <v>10</v>
      </c>
      <c r="G501">
        <v>4</v>
      </c>
      <c r="H501">
        <v>25</v>
      </c>
      <c r="I501">
        <v>100</v>
      </c>
    </row>
    <row r="502" spans="1:9" x14ac:dyDescent="0.25">
      <c r="A502">
        <v>501</v>
      </c>
      <c r="B502" s="1">
        <v>45838</v>
      </c>
      <c r="C502" t="s">
        <v>414</v>
      </c>
      <c r="D502" t="s">
        <v>12</v>
      </c>
      <c r="E502">
        <v>41</v>
      </c>
      <c r="F502" t="s">
        <v>15</v>
      </c>
      <c r="G502">
        <v>2</v>
      </c>
      <c r="H502">
        <v>30</v>
      </c>
      <c r="I502">
        <v>60</v>
      </c>
    </row>
    <row r="503" spans="1:9" x14ac:dyDescent="0.25">
      <c r="A503">
        <v>502</v>
      </c>
      <c r="B503" s="1">
        <v>45838</v>
      </c>
      <c r="C503" t="s">
        <v>415</v>
      </c>
      <c r="D503" t="s">
        <v>9</v>
      </c>
      <c r="E503">
        <v>32</v>
      </c>
      <c r="F503" t="s">
        <v>15</v>
      </c>
      <c r="G503">
        <v>3</v>
      </c>
      <c r="H503">
        <v>50</v>
      </c>
      <c r="I503">
        <v>150</v>
      </c>
    </row>
    <row r="504" spans="1:9" x14ac:dyDescent="0.25">
      <c r="A504">
        <v>503</v>
      </c>
      <c r="B504" s="1">
        <v>45839</v>
      </c>
      <c r="C504" t="s">
        <v>416</v>
      </c>
      <c r="D504" t="s">
        <v>9</v>
      </c>
      <c r="E504">
        <v>46</v>
      </c>
      <c r="F504" t="s">
        <v>10</v>
      </c>
      <c r="G504">
        <v>4</v>
      </c>
      <c r="H504">
        <v>500</v>
      </c>
      <c r="I504">
        <v>2000</v>
      </c>
    </row>
    <row r="505" spans="1:9" x14ac:dyDescent="0.25">
      <c r="A505">
        <v>504</v>
      </c>
      <c r="B505" s="1">
        <v>45839</v>
      </c>
      <c r="C505" t="s">
        <v>417</v>
      </c>
      <c r="D505" t="s">
        <v>12</v>
      </c>
      <c r="E505">
        <v>25</v>
      </c>
      <c r="F505" t="s">
        <v>10</v>
      </c>
      <c r="G505">
        <v>3</v>
      </c>
      <c r="H505">
        <v>50</v>
      </c>
      <c r="I505">
        <v>150</v>
      </c>
    </row>
    <row r="506" spans="1:9" x14ac:dyDescent="0.25">
      <c r="A506">
        <v>505</v>
      </c>
      <c r="B506" s="1">
        <v>45839</v>
      </c>
      <c r="C506" t="s">
        <v>418</v>
      </c>
      <c r="D506" t="s">
        <v>12</v>
      </c>
      <c r="E506">
        <v>22</v>
      </c>
      <c r="F506" t="s">
        <v>10</v>
      </c>
      <c r="G506">
        <v>1</v>
      </c>
      <c r="H506">
        <v>50</v>
      </c>
      <c r="I506">
        <v>50</v>
      </c>
    </row>
    <row r="507" spans="1:9" x14ac:dyDescent="0.25">
      <c r="A507">
        <v>506</v>
      </c>
      <c r="B507" s="1">
        <v>45839</v>
      </c>
      <c r="C507" t="s">
        <v>419</v>
      </c>
      <c r="D507" t="s">
        <v>12</v>
      </c>
      <c r="E507">
        <v>46</v>
      </c>
      <c r="F507" t="s">
        <v>10</v>
      </c>
      <c r="G507">
        <v>5</v>
      </c>
      <c r="H507">
        <v>500</v>
      </c>
      <c r="I507">
        <v>2500</v>
      </c>
    </row>
    <row r="508" spans="1:9" x14ac:dyDescent="0.25">
      <c r="A508">
        <v>507</v>
      </c>
      <c r="B508" s="1">
        <v>45841</v>
      </c>
      <c r="C508" t="s">
        <v>420</v>
      </c>
      <c r="D508" t="s">
        <v>12</v>
      </c>
      <c r="E508">
        <v>64</v>
      </c>
      <c r="F508" t="s">
        <v>15</v>
      </c>
      <c r="G508">
        <v>3</v>
      </c>
      <c r="H508">
        <v>500</v>
      </c>
      <c r="I508">
        <v>1500</v>
      </c>
    </row>
    <row r="509" spans="1:9" x14ac:dyDescent="0.25">
      <c r="A509">
        <v>508</v>
      </c>
      <c r="B509" s="1">
        <v>45841</v>
      </c>
      <c r="C509" t="s">
        <v>421</v>
      </c>
      <c r="D509" t="s">
        <v>12</v>
      </c>
      <c r="E509">
        <v>21</v>
      </c>
      <c r="F509" t="s">
        <v>10</v>
      </c>
      <c r="G509">
        <v>2</v>
      </c>
      <c r="H509">
        <v>300</v>
      </c>
      <c r="I509">
        <v>600</v>
      </c>
    </row>
    <row r="510" spans="1:9" x14ac:dyDescent="0.25">
      <c r="A510">
        <v>509</v>
      </c>
      <c r="B510" s="1">
        <v>45842</v>
      </c>
      <c r="C510" t="s">
        <v>422</v>
      </c>
      <c r="D510" t="s">
        <v>12</v>
      </c>
      <c r="E510">
        <v>29</v>
      </c>
      <c r="F510" t="s">
        <v>15</v>
      </c>
      <c r="G510">
        <v>3</v>
      </c>
      <c r="H510">
        <v>300</v>
      </c>
      <c r="I510">
        <v>900</v>
      </c>
    </row>
    <row r="511" spans="1:9" x14ac:dyDescent="0.25">
      <c r="A511">
        <v>510</v>
      </c>
      <c r="B511" s="1">
        <v>45843</v>
      </c>
      <c r="C511" t="s">
        <v>423</v>
      </c>
      <c r="D511" t="s">
        <v>9</v>
      </c>
      <c r="E511">
        <v>62</v>
      </c>
      <c r="F511" t="s">
        <v>10</v>
      </c>
      <c r="G511">
        <v>4</v>
      </c>
      <c r="H511">
        <v>50</v>
      </c>
      <c r="I511">
        <v>200</v>
      </c>
    </row>
    <row r="512" spans="1:9" x14ac:dyDescent="0.25">
      <c r="A512">
        <v>511</v>
      </c>
      <c r="B512" s="1">
        <v>45843</v>
      </c>
      <c r="C512" t="s">
        <v>424</v>
      </c>
      <c r="D512" t="s">
        <v>12</v>
      </c>
      <c r="E512">
        <v>19</v>
      </c>
      <c r="F512" t="s">
        <v>10</v>
      </c>
      <c r="G512">
        <v>2</v>
      </c>
      <c r="H512">
        <v>50</v>
      </c>
      <c r="I512">
        <v>100</v>
      </c>
    </row>
    <row r="513" spans="1:9" x14ac:dyDescent="0.25">
      <c r="A513">
        <v>512</v>
      </c>
      <c r="B513" s="1">
        <v>45843</v>
      </c>
      <c r="C513" t="s">
        <v>579</v>
      </c>
      <c r="D513" t="s">
        <v>12</v>
      </c>
      <c r="E513">
        <v>25</v>
      </c>
      <c r="F513" t="s">
        <v>10</v>
      </c>
      <c r="G513">
        <v>1</v>
      </c>
      <c r="H513">
        <v>25</v>
      </c>
      <c r="I513">
        <v>25</v>
      </c>
    </row>
    <row r="514" spans="1:9" x14ac:dyDescent="0.25">
      <c r="A514">
        <v>513</v>
      </c>
      <c r="B514" s="1">
        <v>45843</v>
      </c>
      <c r="C514" t="s">
        <v>582</v>
      </c>
      <c r="D514" t="s">
        <v>9</v>
      </c>
      <c r="E514">
        <v>49</v>
      </c>
      <c r="F514" t="s">
        <v>15</v>
      </c>
      <c r="G514">
        <v>4</v>
      </c>
      <c r="H514">
        <v>25</v>
      </c>
      <c r="I514">
        <v>100</v>
      </c>
    </row>
    <row r="515" spans="1:9" x14ac:dyDescent="0.25">
      <c r="A515">
        <v>514</v>
      </c>
      <c r="B515" s="1">
        <v>45844</v>
      </c>
      <c r="C515" t="s">
        <v>584</v>
      </c>
      <c r="D515" t="s">
        <v>9</v>
      </c>
      <c r="E515">
        <v>31</v>
      </c>
      <c r="F515" t="s">
        <v>15</v>
      </c>
      <c r="G515">
        <v>1</v>
      </c>
      <c r="H515">
        <v>300</v>
      </c>
      <c r="I515">
        <v>300</v>
      </c>
    </row>
    <row r="516" spans="1:9" x14ac:dyDescent="0.25">
      <c r="A516">
        <v>515</v>
      </c>
      <c r="B516" s="1">
        <v>45844</v>
      </c>
      <c r="C516" t="s">
        <v>587</v>
      </c>
      <c r="D516" t="s">
        <v>9</v>
      </c>
      <c r="E516">
        <v>60</v>
      </c>
      <c r="F516" t="s">
        <v>13</v>
      </c>
      <c r="G516">
        <v>3</v>
      </c>
      <c r="H516">
        <v>300</v>
      </c>
      <c r="I516">
        <v>900</v>
      </c>
    </row>
    <row r="517" spans="1:9" x14ac:dyDescent="0.25">
      <c r="A517">
        <v>516</v>
      </c>
      <c r="B517" s="1">
        <v>45844</v>
      </c>
      <c r="C517" t="s">
        <v>590</v>
      </c>
      <c r="D517" t="s">
        <v>12</v>
      </c>
      <c r="E517">
        <v>54</v>
      </c>
      <c r="F517" t="s">
        <v>10</v>
      </c>
      <c r="G517">
        <v>4</v>
      </c>
      <c r="H517">
        <v>25</v>
      </c>
      <c r="I517">
        <v>100</v>
      </c>
    </row>
    <row r="518" spans="1:9" x14ac:dyDescent="0.25">
      <c r="A518">
        <v>517</v>
      </c>
      <c r="B518" s="1">
        <v>45846</v>
      </c>
      <c r="C518" t="s">
        <v>592</v>
      </c>
      <c r="D518" t="s">
        <v>12</v>
      </c>
      <c r="E518">
        <v>31</v>
      </c>
      <c r="F518" t="s">
        <v>13</v>
      </c>
      <c r="G518">
        <v>4</v>
      </c>
      <c r="H518">
        <v>25</v>
      </c>
      <c r="I518">
        <v>100</v>
      </c>
    </row>
    <row r="519" spans="1:9" x14ac:dyDescent="0.25">
      <c r="A519">
        <v>518</v>
      </c>
      <c r="B519" s="1">
        <v>45846</v>
      </c>
      <c r="C519" t="s">
        <v>594</v>
      </c>
      <c r="D519" t="s">
        <v>9</v>
      </c>
      <c r="E519">
        <v>35</v>
      </c>
      <c r="F519" t="s">
        <v>13</v>
      </c>
      <c r="G519">
        <v>1</v>
      </c>
      <c r="H519">
        <v>30</v>
      </c>
      <c r="I519">
        <v>30</v>
      </c>
    </row>
    <row r="520" spans="1:9" x14ac:dyDescent="0.25">
      <c r="A520">
        <v>519</v>
      </c>
      <c r="B520" s="1">
        <v>45847</v>
      </c>
      <c r="C520" t="s">
        <v>597</v>
      </c>
      <c r="D520" t="s">
        <v>12</v>
      </c>
      <c r="E520">
        <v>24</v>
      </c>
      <c r="F520" t="s">
        <v>15</v>
      </c>
      <c r="G520">
        <v>4</v>
      </c>
      <c r="H520">
        <v>30</v>
      </c>
      <c r="I520">
        <v>120</v>
      </c>
    </row>
    <row r="521" spans="1:9" x14ac:dyDescent="0.25">
      <c r="A521">
        <v>520</v>
      </c>
      <c r="B521" s="1">
        <v>45847</v>
      </c>
      <c r="C521" t="s">
        <v>602</v>
      </c>
      <c r="D521" t="s">
        <v>9</v>
      </c>
      <c r="E521">
        <v>36</v>
      </c>
      <c r="F521" t="s">
        <v>15</v>
      </c>
      <c r="G521">
        <v>4</v>
      </c>
      <c r="H521">
        <v>25</v>
      </c>
      <c r="I521">
        <v>100</v>
      </c>
    </row>
    <row r="522" spans="1:9" x14ac:dyDescent="0.25">
      <c r="A522">
        <v>521</v>
      </c>
      <c r="B522" s="1">
        <v>45847</v>
      </c>
      <c r="C522" t="s">
        <v>607</v>
      </c>
      <c r="D522" t="s">
        <v>12</v>
      </c>
      <c r="E522">
        <v>18</v>
      </c>
      <c r="F522" t="s">
        <v>13</v>
      </c>
      <c r="G522">
        <v>4</v>
      </c>
      <c r="H522">
        <v>30</v>
      </c>
      <c r="I522">
        <v>120</v>
      </c>
    </row>
    <row r="523" spans="1:9" x14ac:dyDescent="0.25">
      <c r="A523">
        <v>522</v>
      </c>
      <c r="B523" s="1">
        <v>45847</v>
      </c>
      <c r="C523" t="s">
        <v>613</v>
      </c>
      <c r="D523" t="s">
        <v>9</v>
      </c>
      <c r="E523">
        <v>19</v>
      </c>
      <c r="F523" t="s">
        <v>10</v>
      </c>
      <c r="G523">
        <v>3</v>
      </c>
      <c r="H523">
        <v>500</v>
      </c>
      <c r="I523">
        <v>1500</v>
      </c>
    </row>
    <row r="524" spans="1:9" x14ac:dyDescent="0.25">
      <c r="A524">
        <v>523</v>
      </c>
      <c r="B524" s="1">
        <v>45849</v>
      </c>
      <c r="C524" t="s">
        <v>615</v>
      </c>
      <c r="D524" t="s">
        <v>12</v>
      </c>
      <c r="E524">
        <v>40</v>
      </c>
      <c r="F524" t="s">
        <v>15</v>
      </c>
      <c r="G524">
        <v>1</v>
      </c>
      <c r="H524">
        <v>300</v>
      </c>
      <c r="I524">
        <v>300</v>
      </c>
    </row>
    <row r="525" spans="1:9" x14ac:dyDescent="0.25">
      <c r="A525">
        <v>524</v>
      </c>
      <c r="B525" s="1">
        <v>45849</v>
      </c>
      <c r="C525" t="s">
        <v>619</v>
      </c>
      <c r="D525" t="s">
        <v>9</v>
      </c>
      <c r="E525">
        <v>54</v>
      </c>
      <c r="F525" t="s">
        <v>10</v>
      </c>
      <c r="G525">
        <v>4</v>
      </c>
      <c r="H525">
        <v>300</v>
      </c>
      <c r="I525">
        <v>1200</v>
      </c>
    </row>
    <row r="526" spans="1:9" x14ac:dyDescent="0.25">
      <c r="A526">
        <v>525</v>
      </c>
      <c r="B526" s="1">
        <v>45850</v>
      </c>
      <c r="C526" t="s">
        <v>621</v>
      </c>
      <c r="D526" t="s">
        <v>12</v>
      </c>
      <c r="E526">
        <v>47</v>
      </c>
      <c r="F526" t="s">
        <v>10</v>
      </c>
      <c r="G526">
        <v>2</v>
      </c>
      <c r="H526">
        <v>25</v>
      </c>
      <c r="I526">
        <v>50</v>
      </c>
    </row>
    <row r="527" spans="1:9" x14ac:dyDescent="0.25">
      <c r="A527">
        <v>526</v>
      </c>
      <c r="B527" s="1">
        <v>45851</v>
      </c>
      <c r="C527" t="s">
        <v>625</v>
      </c>
      <c r="D527" t="s">
        <v>12</v>
      </c>
      <c r="E527">
        <v>52</v>
      </c>
      <c r="F527" t="s">
        <v>13</v>
      </c>
      <c r="G527">
        <v>2</v>
      </c>
      <c r="H527">
        <v>50</v>
      </c>
      <c r="I527">
        <v>100</v>
      </c>
    </row>
    <row r="528" spans="1:9" x14ac:dyDescent="0.25">
      <c r="A528">
        <v>527</v>
      </c>
      <c r="B528" s="1">
        <v>45852</v>
      </c>
      <c r="C528" t="s">
        <v>627</v>
      </c>
      <c r="D528" t="s">
        <v>12</v>
      </c>
      <c r="E528">
        <v>61</v>
      </c>
      <c r="F528" t="s">
        <v>13</v>
      </c>
      <c r="G528">
        <v>2</v>
      </c>
      <c r="H528">
        <v>25</v>
      </c>
      <c r="I528">
        <v>50</v>
      </c>
    </row>
    <row r="529" spans="1:9" x14ac:dyDescent="0.25">
      <c r="A529">
        <v>528</v>
      </c>
      <c r="B529" s="1">
        <v>45852</v>
      </c>
      <c r="C529" t="s">
        <v>628</v>
      </c>
      <c r="D529" t="s">
        <v>9</v>
      </c>
      <c r="E529">
        <v>41</v>
      </c>
      <c r="F529" t="s">
        <v>13</v>
      </c>
      <c r="G529">
        <v>2</v>
      </c>
      <c r="H529">
        <v>30</v>
      </c>
      <c r="I529">
        <v>60</v>
      </c>
    </row>
    <row r="530" spans="1:9" x14ac:dyDescent="0.25">
      <c r="A530">
        <v>529</v>
      </c>
      <c r="B530" s="1">
        <v>45852</v>
      </c>
      <c r="C530" t="s">
        <v>635</v>
      </c>
      <c r="D530" t="s">
        <v>9</v>
      </c>
      <c r="E530">
        <v>34</v>
      </c>
      <c r="F530" t="s">
        <v>13</v>
      </c>
      <c r="G530">
        <v>3</v>
      </c>
      <c r="H530">
        <v>50</v>
      </c>
      <c r="I530">
        <v>150</v>
      </c>
    </row>
    <row r="531" spans="1:9" x14ac:dyDescent="0.25">
      <c r="A531">
        <v>530</v>
      </c>
      <c r="B531" s="1">
        <v>45852</v>
      </c>
      <c r="C531" t="s">
        <v>637</v>
      </c>
      <c r="D531" t="s">
        <v>9</v>
      </c>
      <c r="E531">
        <v>31</v>
      </c>
      <c r="F531" t="s">
        <v>15</v>
      </c>
      <c r="G531">
        <v>4</v>
      </c>
      <c r="H531">
        <v>30</v>
      </c>
      <c r="I531">
        <v>120</v>
      </c>
    </row>
    <row r="532" spans="1:9" x14ac:dyDescent="0.25">
      <c r="A532">
        <v>531</v>
      </c>
      <c r="B532" s="1">
        <v>45852</v>
      </c>
      <c r="C532" t="s">
        <v>638</v>
      </c>
      <c r="D532" t="s">
        <v>12</v>
      </c>
      <c r="E532">
        <v>26</v>
      </c>
      <c r="F532" t="s">
        <v>15</v>
      </c>
      <c r="G532">
        <v>1</v>
      </c>
      <c r="H532">
        <v>500</v>
      </c>
      <c r="I532">
        <v>500</v>
      </c>
    </row>
    <row r="533" spans="1:9" x14ac:dyDescent="0.25">
      <c r="A533">
        <v>532</v>
      </c>
      <c r="B533" s="1">
        <v>45852</v>
      </c>
      <c r="C533" t="s">
        <v>639</v>
      </c>
      <c r="D533" t="s">
        <v>9</v>
      </c>
      <c r="E533">
        <v>57</v>
      </c>
      <c r="F533" t="s">
        <v>13</v>
      </c>
      <c r="G533">
        <v>4</v>
      </c>
      <c r="H533">
        <v>30</v>
      </c>
      <c r="I533">
        <v>120</v>
      </c>
    </row>
    <row r="534" spans="1:9" x14ac:dyDescent="0.25">
      <c r="A534">
        <v>533</v>
      </c>
      <c r="B534" s="1">
        <v>45852</v>
      </c>
      <c r="C534" t="s">
        <v>642</v>
      </c>
      <c r="D534" t="s">
        <v>9</v>
      </c>
      <c r="E534">
        <v>42</v>
      </c>
      <c r="F534" t="s">
        <v>15</v>
      </c>
      <c r="G534">
        <v>3</v>
      </c>
      <c r="H534">
        <v>500</v>
      </c>
      <c r="I534">
        <v>1500</v>
      </c>
    </row>
    <row r="535" spans="1:9" x14ac:dyDescent="0.25">
      <c r="A535">
        <v>534</v>
      </c>
      <c r="B535" s="1">
        <v>45852</v>
      </c>
      <c r="C535" t="s">
        <v>649</v>
      </c>
      <c r="D535" t="s">
        <v>9</v>
      </c>
      <c r="E535">
        <v>43</v>
      </c>
      <c r="F535" t="s">
        <v>13</v>
      </c>
      <c r="G535">
        <v>2</v>
      </c>
      <c r="H535">
        <v>500</v>
      </c>
      <c r="I535">
        <v>1000</v>
      </c>
    </row>
    <row r="536" spans="1:9" x14ac:dyDescent="0.25">
      <c r="A536">
        <v>535</v>
      </c>
      <c r="B536" s="1">
        <v>45852</v>
      </c>
      <c r="C536" t="s">
        <v>654</v>
      </c>
      <c r="D536" t="s">
        <v>12</v>
      </c>
      <c r="E536">
        <v>54</v>
      </c>
      <c r="F536" t="s">
        <v>10</v>
      </c>
      <c r="G536">
        <v>3</v>
      </c>
      <c r="H536">
        <v>30</v>
      </c>
      <c r="I536">
        <v>90</v>
      </c>
    </row>
    <row r="537" spans="1:9" x14ac:dyDescent="0.25">
      <c r="A537">
        <v>536</v>
      </c>
      <c r="B537" s="1">
        <v>45852</v>
      </c>
      <c r="C537" t="s">
        <v>658</v>
      </c>
      <c r="D537" t="s">
        <v>9</v>
      </c>
      <c r="E537">
        <v>38</v>
      </c>
      <c r="F537" t="s">
        <v>10</v>
      </c>
      <c r="G537">
        <v>4</v>
      </c>
      <c r="H537">
        <v>30</v>
      </c>
      <c r="I537">
        <v>120</v>
      </c>
    </row>
    <row r="538" spans="1:9" x14ac:dyDescent="0.25">
      <c r="A538">
        <v>537</v>
      </c>
      <c r="B538" s="1">
        <v>45853</v>
      </c>
      <c r="C538" t="s">
        <v>659</v>
      </c>
      <c r="D538" t="s">
        <v>9</v>
      </c>
      <c r="E538">
        <v>59</v>
      </c>
      <c r="F538" t="s">
        <v>10</v>
      </c>
      <c r="G538">
        <v>1</v>
      </c>
      <c r="H538">
        <v>500</v>
      </c>
      <c r="I538">
        <v>500</v>
      </c>
    </row>
    <row r="539" spans="1:9" x14ac:dyDescent="0.25">
      <c r="A539">
        <v>538</v>
      </c>
      <c r="B539" s="1">
        <v>45853</v>
      </c>
      <c r="C539" t="s">
        <v>661</v>
      </c>
      <c r="D539" t="s">
        <v>12</v>
      </c>
      <c r="E539">
        <v>58</v>
      </c>
      <c r="F539" t="s">
        <v>13</v>
      </c>
      <c r="G539">
        <v>3</v>
      </c>
      <c r="H539">
        <v>50</v>
      </c>
      <c r="I539">
        <v>150</v>
      </c>
    </row>
    <row r="540" spans="1:9" x14ac:dyDescent="0.25">
      <c r="A540">
        <v>539</v>
      </c>
      <c r="B540" s="1">
        <v>45854</v>
      </c>
      <c r="C540" t="s">
        <v>663</v>
      </c>
      <c r="D540" t="s">
        <v>9</v>
      </c>
      <c r="E540">
        <v>51</v>
      </c>
      <c r="F540" t="s">
        <v>10</v>
      </c>
      <c r="G540">
        <v>6</v>
      </c>
      <c r="H540">
        <v>500</v>
      </c>
      <c r="I540">
        <v>3000</v>
      </c>
    </row>
    <row r="541" spans="1:9" x14ac:dyDescent="0.25">
      <c r="A541">
        <v>540</v>
      </c>
      <c r="B541" s="1">
        <v>45854</v>
      </c>
      <c r="C541" t="s">
        <v>665</v>
      </c>
      <c r="D541" t="s">
        <v>9</v>
      </c>
      <c r="E541">
        <v>54</v>
      </c>
      <c r="F541" t="s">
        <v>15</v>
      </c>
      <c r="G541">
        <v>3</v>
      </c>
      <c r="H541">
        <v>300</v>
      </c>
      <c r="I541">
        <v>900</v>
      </c>
    </row>
    <row r="542" spans="1:9" x14ac:dyDescent="0.25">
      <c r="A542">
        <v>541</v>
      </c>
      <c r="B542" s="1">
        <v>45855</v>
      </c>
      <c r="C542" t="s">
        <v>666</v>
      </c>
      <c r="D542" t="s">
        <v>9</v>
      </c>
      <c r="E542">
        <v>42</v>
      </c>
      <c r="F542" t="s">
        <v>10</v>
      </c>
      <c r="G542">
        <v>1</v>
      </c>
      <c r="H542">
        <v>500</v>
      </c>
      <c r="I542">
        <v>500</v>
      </c>
    </row>
    <row r="543" spans="1:9" x14ac:dyDescent="0.25">
      <c r="A543">
        <v>542</v>
      </c>
      <c r="B543" s="1">
        <v>45855</v>
      </c>
      <c r="C543" t="s">
        <v>667</v>
      </c>
      <c r="D543" t="s">
        <v>12</v>
      </c>
      <c r="E543">
        <v>55</v>
      </c>
      <c r="F543" t="s">
        <v>10</v>
      </c>
      <c r="G543">
        <v>1</v>
      </c>
      <c r="H543">
        <v>50</v>
      </c>
      <c r="I543">
        <v>50</v>
      </c>
    </row>
    <row r="544" spans="1:9" x14ac:dyDescent="0.25">
      <c r="A544">
        <v>543</v>
      </c>
      <c r="B544" s="1">
        <v>45857</v>
      </c>
      <c r="C544" t="s">
        <v>669</v>
      </c>
      <c r="D544" t="s">
        <v>9</v>
      </c>
      <c r="E544">
        <v>40</v>
      </c>
      <c r="F544" t="s">
        <v>10</v>
      </c>
      <c r="G544">
        <v>2</v>
      </c>
      <c r="H544">
        <v>300</v>
      </c>
      <c r="I544">
        <v>600</v>
      </c>
    </row>
    <row r="545" spans="1:9" x14ac:dyDescent="0.25">
      <c r="A545">
        <v>544</v>
      </c>
      <c r="B545" s="1">
        <v>45857</v>
      </c>
      <c r="C545" t="s">
        <v>670</v>
      </c>
      <c r="D545" t="s">
        <v>9</v>
      </c>
      <c r="E545">
        <v>59</v>
      </c>
      <c r="F545" t="s">
        <v>15</v>
      </c>
      <c r="G545">
        <v>1</v>
      </c>
      <c r="H545">
        <v>25</v>
      </c>
      <c r="I545">
        <v>25</v>
      </c>
    </row>
    <row r="546" spans="1:9" x14ac:dyDescent="0.25">
      <c r="A546">
        <v>545</v>
      </c>
      <c r="B546" s="1">
        <v>45857</v>
      </c>
      <c r="C546" t="s">
        <v>673</v>
      </c>
      <c r="D546" t="s">
        <v>12</v>
      </c>
      <c r="E546">
        <v>44</v>
      </c>
      <c r="F546" t="s">
        <v>13</v>
      </c>
      <c r="G546">
        <v>2</v>
      </c>
      <c r="H546">
        <v>25</v>
      </c>
      <c r="I546">
        <v>50</v>
      </c>
    </row>
    <row r="547" spans="1:9" x14ac:dyDescent="0.25">
      <c r="A547">
        <v>546</v>
      </c>
      <c r="B547" s="1">
        <v>45857</v>
      </c>
      <c r="C547" t="s">
        <v>675</v>
      </c>
      <c r="D547" t="s">
        <v>9</v>
      </c>
      <c r="E547">
        <v>23</v>
      </c>
      <c r="F547" t="s">
        <v>15</v>
      </c>
      <c r="G547">
        <v>4</v>
      </c>
      <c r="H547">
        <v>50</v>
      </c>
      <c r="I547">
        <v>200</v>
      </c>
    </row>
    <row r="548" spans="1:9" x14ac:dyDescent="0.25">
      <c r="A548">
        <v>547</v>
      </c>
      <c r="B548" s="1">
        <v>45859</v>
      </c>
      <c r="C548" t="s">
        <v>676</v>
      </c>
      <c r="D548" t="s">
        <v>12</v>
      </c>
      <c r="E548">
        <v>44</v>
      </c>
      <c r="F548" t="s">
        <v>13</v>
      </c>
      <c r="G548">
        <v>4</v>
      </c>
      <c r="H548">
        <v>500</v>
      </c>
      <c r="I548">
        <v>2000</v>
      </c>
    </row>
    <row r="549" spans="1:9" x14ac:dyDescent="0.25">
      <c r="A549">
        <v>548</v>
      </c>
      <c r="B549" s="1">
        <v>45860</v>
      </c>
      <c r="C549" t="s">
        <v>677</v>
      </c>
      <c r="D549" t="s">
        <v>9</v>
      </c>
      <c r="E549">
        <v>57</v>
      </c>
      <c r="F549" t="s">
        <v>13</v>
      </c>
      <c r="G549">
        <v>2</v>
      </c>
      <c r="H549">
        <v>30</v>
      </c>
      <c r="I549">
        <v>60</v>
      </c>
    </row>
    <row r="550" spans="1:9" x14ac:dyDescent="0.25">
      <c r="A550">
        <v>549</v>
      </c>
      <c r="B550" s="1">
        <v>45860</v>
      </c>
      <c r="C550" t="s">
        <v>685</v>
      </c>
      <c r="D550" t="s">
        <v>12</v>
      </c>
      <c r="E550">
        <v>43</v>
      </c>
      <c r="F550" t="s">
        <v>10</v>
      </c>
      <c r="G550">
        <v>2</v>
      </c>
      <c r="H550">
        <v>50</v>
      </c>
      <c r="I550">
        <v>100</v>
      </c>
    </row>
    <row r="551" spans="1:9" x14ac:dyDescent="0.25">
      <c r="A551">
        <v>550</v>
      </c>
      <c r="B551" s="1">
        <v>45861</v>
      </c>
      <c r="C551" t="s">
        <v>686</v>
      </c>
      <c r="D551" t="s">
        <v>12</v>
      </c>
      <c r="E551">
        <v>38</v>
      </c>
      <c r="F551" t="s">
        <v>13</v>
      </c>
      <c r="G551">
        <v>3</v>
      </c>
      <c r="H551">
        <v>300</v>
      </c>
      <c r="I551">
        <v>900</v>
      </c>
    </row>
    <row r="552" spans="1:9" x14ac:dyDescent="0.25">
      <c r="A552">
        <v>551</v>
      </c>
      <c r="B552" s="1">
        <v>45862</v>
      </c>
      <c r="C552" t="s">
        <v>687</v>
      </c>
      <c r="D552" t="s">
        <v>12</v>
      </c>
      <c r="E552">
        <v>45</v>
      </c>
      <c r="F552" t="s">
        <v>15</v>
      </c>
      <c r="G552">
        <v>3</v>
      </c>
      <c r="H552">
        <v>300</v>
      </c>
      <c r="I552">
        <v>900</v>
      </c>
    </row>
    <row r="553" spans="1:9" x14ac:dyDescent="0.25">
      <c r="A553">
        <v>552</v>
      </c>
      <c r="B553" s="1">
        <v>45862</v>
      </c>
      <c r="C553" t="s">
        <v>692</v>
      </c>
      <c r="D553" t="s">
        <v>12</v>
      </c>
      <c r="E553">
        <v>53</v>
      </c>
      <c r="F553" t="s">
        <v>15</v>
      </c>
      <c r="G553">
        <v>3</v>
      </c>
      <c r="H553">
        <v>25</v>
      </c>
      <c r="I553">
        <v>75</v>
      </c>
    </row>
    <row r="554" spans="1:9" x14ac:dyDescent="0.25">
      <c r="A554">
        <v>553</v>
      </c>
      <c r="B554" s="1">
        <v>45862</v>
      </c>
      <c r="C554" t="s">
        <v>696</v>
      </c>
      <c r="D554" t="s">
        <v>12</v>
      </c>
      <c r="E554">
        <v>28</v>
      </c>
      <c r="F554" t="s">
        <v>13</v>
      </c>
      <c r="G554">
        <v>4</v>
      </c>
      <c r="H554">
        <v>300</v>
      </c>
      <c r="I554">
        <v>1200</v>
      </c>
    </row>
    <row r="555" spans="1:9" x14ac:dyDescent="0.25">
      <c r="A555">
        <v>554</v>
      </c>
      <c r="B555" s="1">
        <v>45862</v>
      </c>
      <c r="C555" t="s">
        <v>700</v>
      </c>
      <c r="D555" t="s">
        <v>9</v>
      </c>
      <c r="E555">
        <v>56</v>
      </c>
      <c r="F555" t="s">
        <v>10</v>
      </c>
      <c r="G555">
        <v>3</v>
      </c>
      <c r="H555">
        <v>50</v>
      </c>
      <c r="I555">
        <v>150</v>
      </c>
    </row>
    <row r="556" spans="1:9" x14ac:dyDescent="0.25">
      <c r="A556">
        <v>555</v>
      </c>
      <c r="B556" s="1">
        <v>45862</v>
      </c>
      <c r="C556" t="s">
        <v>702</v>
      </c>
      <c r="D556" t="s">
        <v>12</v>
      </c>
      <c r="E556">
        <v>52</v>
      </c>
      <c r="F556" t="s">
        <v>10</v>
      </c>
      <c r="G556">
        <v>1</v>
      </c>
      <c r="H556">
        <v>300</v>
      </c>
      <c r="I556">
        <v>300</v>
      </c>
    </row>
    <row r="557" spans="1:9" x14ac:dyDescent="0.25">
      <c r="A557">
        <v>556</v>
      </c>
      <c r="B557" s="1">
        <v>45863</v>
      </c>
      <c r="C557" t="s">
        <v>703</v>
      </c>
      <c r="D557" t="s">
        <v>12</v>
      </c>
      <c r="E557">
        <v>51</v>
      </c>
      <c r="F557" t="s">
        <v>15</v>
      </c>
      <c r="G557">
        <v>2</v>
      </c>
      <c r="H557">
        <v>50</v>
      </c>
      <c r="I557">
        <v>100</v>
      </c>
    </row>
    <row r="558" spans="1:9" x14ac:dyDescent="0.25">
      <c r="A558">
        <v>557</v>
      </c>
      <c r="B558" s="1">
        <v>45863</v>
      </c>
      <c r="C558" t="s">
        <v>704</v>
      </c>
      <c r="D558" t="s">
        <v>12</v>
      </c>
      <c r="E558">
        <v>64</v>
      </c>
      <c r="F558" t="s">
        <v>10</v>
      </c>
      <c r="G558">
        <v>3</v>
      </c>
      <c r="H558">
        <v>30</v>
      </c>
      <c r="I558">
        <v>90</v>
      </c>
    </row>
    <row r="559" spans="1:9" x14ac:dyDescent="0.25">
      <c r="A559">
        <v>558</v>
      </c>
      <c r="B559" s="1">
        <v>45863</v>
      </c>
      <c r="C559" t="s">
        <v>708</v>
      </c>
      <c r="D559" t="s">
        <v>12</v>
      </c>
      <c r="E559">
        <v>50</v>
      </c>
      <c r="F559" t="s">
        <v>13</v>
      </c>
      <c r="G559">
        <v>1</v>
      </c>
      <c r="H559">
        <v>25</v>
      </c>
      <c r="I559">
        <v>25</v>
      </c>
    </row>
    <row r="560" spans="1:9" x14ac:dyDescent="0.25">
      <c r="A560">
        <v>559</v>
      </c>
      <c r="B560" s="1">
        <v>45864</v>
      </c>
      <c r="C560" t="s">
        <v>709</v>
      </c>
      <c r="D560" t="s">
        <v>9</v>
      </c>
      <c r="E560">
        <v>53</v>
      </c>
      <c r="F560" t="s">
        <v>13</v>
      </c>
      <c r="G560">
        <v>4</v>
      </c>
      <c r="H560">
        <v>300</v>
      </c>
      <c r="I560">
        <v>1200</v>
      </c>
    </row>
    <row r="561" spans="1:9" x14ac:dyDescent="0.25">
      <c r="A561">
        <v>560</v>
      </c>
      <c r="B561" s="1">
        <v>45864</v>
      </c>
      <c r="C561" t="s">
        <v>711</v>
      </c>
      <c r="D561" t="s">
        <v>12</v>
      </c>
      <c r="E561">
        <v>37</v>
      </c>
      <c r="F561" t="s">
        <v>15</v>
      </c>
      <c r="G561">
        <v>1</v>
      </c>
      <c r="H561">
        <v>50</v>
      </c>
      <c r="I561">
        <v>50</v>
      </c>
    </row>
    <row r="562" spans="1:9" x14ac:dyDescent="0.25">
      <c r="A562">
        <v>561</v>
      </c>
      <c r="B562" s="1">
        <v>45864</v>
      </c>
      <c r="C562" t="s">
        <v>714</v>
      </c>
      <c r="D562" t="s">
        <v>12</v>
      </c>
      <c r="E562">
        <v>60</v>
      </c>
      <c r="F562" t="s">
        <v>13</v>
      </c>
      <c r="G562">
        <v>4</v>
      </c>
      <c r="H562">
        <v>500</v>
      </c>
      <c r="I562">
        <v>2000</v>
      </c>
    </row>
    <row r="563" spans="1:9" x14ac:dyDescent="0.25">
      <c r="A563">
        <v>562</v>
      </c>
      <c r="B563" s="1">
        <v>45865</v>
      </c>
      <c r="C563" t="s">
        <v>425</v>
      </c>
      <c r="D563" t="s">
        <v>12</v>
      </c>
      <c r="E563">
        <v>44</v>
      </c>
      <c r="F563" t="s">
        <v>15</v>
      </c>
      <c r="G563">
        <v>2</v>
      </c>
      <c r="H563">
        <v>25</v>
      </c>
      <c r="I563">
        <v>50</v>
      </c>
    </row>
    <row r="564" spans="1:9" x14ac:dyDescent="0.25">
      <c r="A564">
        <v>563</v>
      </c>
      <c r="B564" s="1">
        <v>45865</v>
      </c>
      <c r="C564" t="s">
        <v>426</v>
      </c>
      <c r="D564" t="s">
        <v>9</v>
      </c>
      <c r="E564">
        <v>48</v>
      </c>
      <c r="F564" t="s">
        <v>13</v>
      </c>
      <c r="G564">
        <v>2</v>
      </c>
      <c r="H564">
        <v>30</v>
      </c>
      <c r="I564">
        <v>60</v>
      </c>
    </row>
    <row r="565" spans="1:9" x14ac:dyDescent="0.25">
      <c r="A565">
        <v>564</v>
      </c>
      <c r="B565" s="1">
        <v>45865</v>
      </c>
      <c r="C565" t="s">
        <v>427</v>
      </c>
      <c r="D565" t="s">
        <v>9</v>
      </c>
      <c r="E565">
        <v>53</v>
      </c>
      <c r="F565" t="s">
        <v>15</v>
      </c>
      <c r="G565">
        <v>2</v>
      </c>
      <c r="H565">
        <v>50</v>
      </c>
      <c r="I565">
        <v>100</v>
      </c>
    </row>
    <row r="566" spans="1:9" x14ac:dyDescent="0.25">
      <c r="A566">
        <v>565</v>
      </c>
      <c r="B566" s="1">
        <v>45866</v>
      </c>
      <c r="C566" t="s">
        <v>428</v>
      </c>
      <c r="D566" t="s">
        <v>9</v>
      </c>
      <c r="E566">
        <v>53</v>
      </c>
      <c r="F566" t="s">
        <v>10</v>
      </c>
      <c r="G566">
        <v>2</v>
      </c>
      <c r="H566">
        <v>30</v>
      </c>
      <c r="I566">
        <v>60</v>
      </c>
    </row>
    <row r="567" spans="1:9" x14ac:dyDescent="0.25">
      <c r="A567">
        <v>566</v>
      </c>
      <c r="B567" s="1">
        <v>45866</v>
      </c>
      <c r="C567" t="s">
        <v>429</v>
      </c>
      <c r="D567" t="s">
        <v>9</v>
      </c>
      <c r="E567">
        <v>43</v>
      </c>
      <c r="F567" t="s">
        <v>13</v>
      </c>
      <c r="G567">
        <v>1</v>
      </c>
      <c r="H567">
        <v>30</v>
      </c>
      <c r="I567">
        <v>30</v>
      </c>
    </row>
    <row r="568" spans="1:9" x14ac:dyDescent="0.25">
      <c r="A568">
        <v>567</v>
      </c>
      <c r="B568" s="1">
        <v>45866</v>
      </c>
      <c r="C568" t="s">
        <v>430</v>
      </c>
      <c r="D568" t="s">
        <v>12</v>
      </c>
      <c r="E568">
        <v>60</v>
      </c>
      <c r="F568" t="s">
        <v>13</v>
      </c>
      <c r="G568">
        <v>3</v>
      </c>
      <c r="H568">
        <v>300</v>
      </c>
      <c r="I568">
        <v>900</v>
      </c>
    </row>
    <row r="569" spans="1:9" x14ac:dyDescent="0.25">
      <c r="A569">
        <v>568</v>
      </c>
      <c r="B569" s="1">
        <v>45866</v>
      </c>
      <c r="C569" t="s">
        <v>431</v>
      </c>
      <c r="D569" t="s">
        <v>12</v>
      </c>
      <c r="E569">
        <v>44</v>
      </c>
      <c r="F569" t="s">
        <v>15</v>
      </c>
      <c r="G569">
        <v>1</v>
      </c>
      <c r="H569">
        <v>300</v>
      </c>
      <c r="I569">
        <v>300</v>
      </c>
    </row>
    <row r="570" spans="1:9" x14ac:dyDescent="0.25">
      <c r="A570">
        <v>569</v>
      </c>
      <c r="B570" s="1">
        <v>45866</v>
      </c>
      <c r="C570" t="s">
        <v>432</v>
      </c>
      <c r="D570" t="s">
        <v>12</v>
      </c>
      <c r="E570">
        <v>22</v>
      </c>
      <c r="F570" t="s">
        <v>15</v>
      </c>
      <c r="G570">
        <v>4</v>
      </c>
      <c r="H570">
        <v>50</v>
      </c>
      <c r="I570">
        <v>200</v>
      </c>
    </row>
    <row r="571" spans="1:9" x14ac:dyDescent="0.25">
      <c r="A571">
        <v>570</v>
      </c>
      <c r="B571" s="1">
        <v>45867</v>
      </c>
      <c r="C571" t="s">
        <v>433</v>
      </c>
      <c r="D571" t="s">
        <v>12</v>
      </c>
      <c r="E571">
        <v>37</v>
      </c>
      <c r="F571" t="s">
        <v>13</v>
      </c>
      <c r="G571">
        <v>1</v>
      </c>
      <c r="H571">
        <v>500</v>
      </c>
      <c r="I571">
        <v>500</v>
      </c>
    </row>
    <row r="572" spans="1:9" x14ac:dyDescent="0.25">
      <c r="A572">
        <v>571</v>
      </c>
      <c r="B572" s="1">
        <v>45867</v>
      </c>
      <c r="C572" t="s">
        <v>434</v>
      </c>
      <c r="D572" t="s">
        <v>12</v>
      </c>
      <c r="E572">
        <v>28</v>
      </c>
      <c r="F572" t="s">
        <v>15</v>
      </c>
      <c r="G572">
        <v>1</v>
      </c>
      <c r="H572">
        <v>50</v>
      </c>
      <c r="I572">
        <v>50</v>
      </c>
    </row>
    <row r="573" spans="1:9" x14ac:dyDescent="0.25">
      <c r="A573">
        <v>572</v>
      </c>
      <c r="B573" s="1">
        <v>45868</v>
      </c>
      <c r="C573" t="s">
        <v>435</v>
      </c>
      <c r="D573" t="s">
        <v>12</v>
      </c>
      <c r="E573">
        <v>27</v>
      </c>
      <c r="F573" t="s">
        <v>13</v>
      </c>
      <c r="G573">
        <v>4</v>
      </c>
      <c r="H573">
        <v>500</v>
      </c>
      <c r="I573">
        <v>2000</v>
      </c>
    </row>
    <row r="574" spans="1:9" x14ac:dyDescent="0.25">
      <c r="A574">
        <v>573</v>
      </c>
      <c r="B574" s="1">
        <v>45868</v>
      </c>
      <c r="C574" t="s">
        <v>436</v>
      </c>
      <c r="D574" t="s">
        <v>9</v>
      </c>
      <c r="E574">
        <v>57</v>
      </c>
      <c r="F574" t="s">
        <v>10</v>
      </c>
      <c r="G574">
        <v>2</v>
      </c>
      <c r="H574">
        <v>30</v>
      </c>
      <c r="I574">
        <v>60</v>
      </c>
    </row>
    <row r="575" spans="1:9" x14ac:dyDescent="0.25">
      <c r="A575">
        <v>574</v>
      </c>
      <c r="B575" s="1">
        <v>45869</v>
      </c>
      <c r="C575" t="s">
        <v>437</v>
      </c>
      <c r="D575" t="s">
        <v>12</v>
      </c>
      <c r="E575">
        <v>55</v>
      </c>
      <c r="F575" t="s">
        <v>15</v>
      </c>
      <c r="G575">
        <v>2</v>
      </c>
      <c r="H575">
        <v>25</v>
      </c>
      <c r="I575">
        <v>50</v>
      </c>
    </row>
    <row r="576" spans="1:9" x14ac:dyDescent="0.25">
      <c r="A576">
        <v>575</v>
      </c>
      <c r="B576" s="1">
        <v>45870</v>
      </c>
      <c r="C576" t="s">
        <v>438</v>
      </c>
      <c r="D576" t="s">
        <v>9</v>
      </c>
      <c r="E576">
        <v>23</v>
      </c>
      <c r="F576" t="s">
        <v>13</v>
      </c>
      <c r="G576">
        <v>2</v>
      </c>
      <c r="H576">
        <v>50</v>
      </c>
      <c r="I576">
        <v>100</v>
      </c>
    </row>
    <row r="577" spans="1:9" x14ac:dyDescent="0.25">
      <c r="A577">
        <v>576</v>
      </c>
      <c r="B577" s="1">
        <v>45870</v>
      </c>
      <c r="C577" t="s">
        <v>439</v>
      </c>
      <c r="D577" t="s">
        <v>9</v>
      </c>
      <c r="E577">
        <v>25</v>
      </c>
      <c r="F577" t="s">
        <v>10</v>
      </c>
      <c r="G577">
        <v>3</v>
      </c>
      <c r="H577">
        <v>50</v>
      </c>
      <c r="I577">
        <v>150</v>
      </c>
    </row>
    <row r="578" spans="1:9" x14ac:dyDescent="0.25">
      <c r="A578">
        <v>577</v>
      </c>
      <c r="B578" s="1">
        <v>45870</v>
      </c>
      <c r="C578" t="s">
        <v>440</v>
      </c>
      <c r="D578" t="s">
        <v>12</v>
      </c>
      <c r="E578">
        <v>40</v>
      </c>
      <c r="F578" t="s">
        <v>10</v>
      </c>
      <c r="G578">
        <v>4</v>
      </c>
      <c r="H578">
        <v>500</v>
      </c>
      <c r="I578">
        <v>2000</v>
      </c>
    </row>
    <row r="579" spans="1:9" x14ac:dyDescent="0.25">
      <c r="A579">
        <v>578</v>
      </c>
      <c r="B579" s="1">
        <v>45871</v>
      </c>
      <c r="C579" t="s">
        <v>441</v>
      </c>
      <c r="D579" t="s">
        <v>9</v>
      </c>
      <c r="E579">
        <v>64</v>
      </c>
      <c r="F579" t="s">
        <v>13</v>
      </c>
      <c r="G579">
        <v>4</v>
      </c>
      <c r="H579">
        <v>30</v>
      </c>
      <c r="I579">
        <v>120</v>
      </c>
    </row>
    <row r="580" spans="1:9" x14ac:dyDescent="0.25">
      <c r="A580">
        <v>579</v>
      </c>
      <c r="B580" s="1">
        <v>45872</v>
      </c>
      <c r="C580" t="s">
        <v>442</v>
      </c>
      <c r="D580" t="s">
        <v>12</v>
      </c>
      <c r="E580">
        <v>43</v>
      </c>
      <c r="F580" t="s">
        <v>15</v>
      </c>
      <c r="G580">
        <v>1</v>
      </c>
      <c r="H580">
        <v>30</v>
      </c>
      <c r="I580">
        <v>30</v>
      </c>
    </row>
    <row r="581" spans="1:9" x14ac:dyDescent="0.25">
      <c r="A581">
        <v>580</v>
      </c>
      <c r="B581" s="1">
        <v>45872</v>
      </c>
      <c r="C581" t="s">
        <v>443</v>
      </c>
      <c r="D581" t="s">
        <v>9</v>
      </c>
      <c r="E581">
        <v>63</v>
      </c>
      <c r="F581" t="s">
        <v>13</v>
      </c>
      <c r="G581">
        <v>3</v>
      </c>
      <c r="H581">
        <v>500</v>
      </c>
      <c r="I581">
        <v>1500</v>
      </c>
    </row>
    <row r="582" spans="1:9" x14ac:dyDescent="0.25">
      <c r="A582">
        <v>581</v>
      </c>
      <c r="B582" s="1">
        <v>45872</v>
      </c>
      <c r="C582" t="s">
        <v>444</v>
      </c>
      <c r="D582" t="s">
        <v>12</v>
      </c>
      <c r="E582">
        <v>60</v>
      </c>
      <c r="F582" t="s">
        <v>10</v>
      </c>
      <c r="G582">
        <v>2</v>
      </c>
      <c r="H582">
        <v>30</v>
      </c>
      <c r="I582">
        <v>60</v>
      </c>
    </row>
    <row r="583" spans="1:9" x14ac:dyDescent="0.25">
      <c r="A583">
        <v>582</v>
      </c>
      <c r="B583" s="1">
        <v>45873</v>
      </c>
      <c r="C583" t="s">
        <v>445</v>
      </c>
      <c r="D583" t="s">
        <v>9</v>
      </c>
      <c r="E583">
        <v>29</v>
      </c>
      <c r="F583" t="s">
        <v>13</v>
      </c>
      <c r="G583">
        <v>3</v>
      </c>
      <c r="H583">
        <v>300</v>
      </c>
      <c r="I583">
        <v>900</v>
      </c>
    </row>
    <row r="584" spans="1:9" x14ac:dyDescent="0.25">
      <c r="A584">
        <v>583</v>
      </c>
      <c r="B584" s="1">
        <v>45873</v>
      </c>
      <c r="C584" t="s">
        <v>446</v>
      </c>
      <c r="D584" t="s">
        <v>12</v>
      </c>
      <c r="E584">
        <v>43</v>
      </c>
      <c r="F584" t="s">
        <v>15</v>
      </c>
      <c r="G584">
        <v>4</v>
      </c>
      <c r="H584">
        <v>25</v>
      </c>
      <c r="I584">
        <v>100</v>
      </c>
    </row>
    <row r="585" spans="1:9" x14ac:dyDescent="0.25">
      <c r="A585">
        <v>584</v>
      </c>
      <c r="B585" s="1">
        <v>45873</v>
      </c>
      <c r="C585" t="s">
        <v>447</v>
      </c>
      <c r="D585" t="s">
        <v>12</v>
      </c>
      <c r="E585">
        <v>30</v>
      </c>
      <c r="F585" t="s">
        <v>10</v>
      </c>
      <c r="G585">
        <v>4</v>
      </c>
      <c r="H585">
        <v>50</v>
      </c>
      <c r="I585">
        <v>200</v>
      </c>
    </row>
    <row r="586" spans="1:9" x14ac:dyDescent="0.25">
      <c r="A586">
        <v>585</v>
      </c>
      <c r="B586" s="1">
        <v>45873</v>
      </c>
      <c r="C586" t="s">
        <v>448</v>
      </c>
      <c r="D586" t="s">
        <v>12</v>
      </c>
      <c r="E586">
        <v>57</v>
      </c>
      <c r="F586" t="s">
        <v>13</v>
      </c>
      <c r="G586">
        <v>1</v>
      </c>
      <c r="H586">
        <v>25</v>
      </c>
      <c r="I586">
        <v>25</v>
      </c>
    </row>
    <row r="587" spans="1:9" x14ac:dyDescent="0.25">
      <c r="A587">
        <v>586</v>
      </c>
      <c r="B587" s="1">
        <v>45874</v>
      </c>
      <c r="C587" t="s">
        <v>449</v>
      </c>
      <c r="D587" t="s">
        <v>12</v>
      </c>
      <c r="E587">
        <v>35</v>
      </c>
      <c r="F587" t="s">
        <v>15</v>
      </c>
      <c r="G587">
        <v>1</v>
      </c>
      <c r="H587">
        <v>50</v>
      </c>
      <c r="I587">
        <v>50</v>
      </c>
    </row>
    <row r="588" spans="1:9" x14ac:dyDescent="0.25">
      <c r="A588">
        <v>587</v>
      </c>
      <c r="B588" s="1">
        <v>45874</v>
      </c>
      <c r="C588" t="s">
        <v>450</v>
      </c>
      <c r="D588" t="s">
        <v>12</v>
      </c>
      <c r="E588">
        <v>42</v>
      </c>
      <c r="F588" t="s">
        <v>10</v>
      </c>
      <c r="G588">
        <v>4</v>
      </c>
      <c r="H588">
        <v>300</v>
      </c>
      <c r="I588">
        <v>1200</v>
      </c>
    </row>
    <row r="589" spans="1:9" x14ac:dyDescent="0.25">
      <c r="A589">
        <v>588</v>
      </c>
      <c r="B589" s="1">
        <v>45874</v>
      </c>
      <c r="C589" t="s">
        <v>451</v>
      </c>
      <c r="D589" t="s">
        <v>9</v>
      </c>
      <c r="E589">
        <v>50</v>
      </c>
      <c r="F589" t="s">
        <v>15</v>
      </c>
      <c r="G589">
        <v>2</v>
      </c>
      <c r="H589">
        <v>30</v>
      </c>
      <c r="I589">
        <v>60</v>
      </c>
    </row>
    <row r="590" spans="1:9" x14ac:dyDescent="0.25">
      <c r="A590">
        <v>589</v>
      </c>
      <c r="B590" s="1">
        <v>45874</v>
      </c>
      <c r="C590" t="s">
        <v>452</v>
      </c>
      <c r="D590" t="s">
        <v>9</v>
      </c>
      <c r="E590">
        <v>64</v>
      </c>
      <c r="F590" t="s">
        <v>10</v>
      </c>
      <c r="G590">
        <v>2</v>
      </c>
      <c r="H590">
        <v>500</v>
      </c>
      <c r="I590">
        <v>1000</v>
      </c>
    </row>
    <row r="591" spans="1:9" x14ac:dyDescent="0.25">
      <c r="A591">
        <v>590</v>
      </c>
      <c r="B591" s="1">
        <v>45874</v>
      </c>
      <c r="C591" t="s">
        <v>453</v>
      </c>
      <c r="D591" t="s">
        <v>9</v>
      </c>
      <c r="E591">
        <v>57</v>
      </c>
      <c r="F591" t="s">
        <v>13</v>
      </c>
      <c r="G591">
        <v>3</v>
      </c>
      <c r="H591">
        <v>300</v>
      </c>
      <c r="I591">
        <v>900</v>
      </c>
    </row>
    <row r="592" spans="1:9" x14ac:dyDescent="0.25">
      <c r="A592">
        <v>591</v>
      </c>
      <c r="B592" s="1">
        <v>45874</v>
      </c>
      <c r="C592" t="s">
        <v>454</v>
      </c>
      <c r="D592" t="s">
        <v>12</v>
      </c>
      <c r="E592">
        <v>60</v>
      </c>
      <c r="F592" t="s">
        <v>15</v>
      </c>
      <c r="G592">
        <v>4</v>
      </c>
      <c r="H592">
        <v>25</v>
      </c>
      <c r="I592">
        <v>100</v>
      </c>
    </row>
    <row r="593" spans="1:9" x14ac:dyDescent="0.25">
      <c r="A593">
        <v>592</v>
      </c>
      <c r="B593" s="1">
        <v>45874</v>
      </c>
      <c r="C593" t="s">
        <v>455</v>
      </c>
      <c r="D593" t="s">
        <v>9</v>
      </c>
      <c r="E593">
        <v>29</v>
      </c>
      <c r="F593" t="s">
        <v>10</v>
      </c>
      <c r="G593">
        <v>4</v>
      </c>
      <c r="H593">
        <v>500</v>
      </c>
      <c r="I593">
        <v>2000</v>
      </c>
    </row>
    <row r="594" spans="1:9" x14ac:dyDescent="0.25">
      <c r="A594">
        <v>593</v>
      </c>
      <c r="B594" s="1">
        <v>45874</v>
      </c>
      <c r="C594" t="s">
        <v>456</v>
      </c>
      <c r="D594" t="s">
        <v>12</v>
      </c>
      <c r="E594">
        <v>61</v>
      </c>
      <c r="F594" t="s">
        <v>15</v>
      </c>
      <c r="G594">
        <v>2</v>
      </c>
      <c r="H594">
        <v>30</v>
      </c>
      <c r="I594">
        <v>60</v>
      </c>
    </row>
    <row r="595" spans="1:9" x14ac:dyDescent="0.25">
      <c r="A595">
        <v>594</v>
      </c>
      <c r="B595" s="1">
        <v>45875</v>
      </c>
      <c r="C595" t="s">
        <v>457</v>
      </c>
      <c r="D595" t="s">
        <v>12</v>
      </c>
      <c r="E595">
        <v>53</v>
      </c>
      <c r="F595" t="s">
        <v>15</v>
      </c>
      <c r="G595">
        <v>2</v>
      </c>
      <c r="H595">
        <v>300</v>
      </c>
      <c r="I595">
        <v>600</v>
      </c>
    </row>
    <row r="596" spans="1:9" x14ac:dyDescent="0.25">
      <c r="A596">
        <v>595</v>
      </c>
      <c r="B596" s="1">
        <v>45875</v>
      </c>
      <c r="C596" t="s">
        <v>458</v>
      </c>
      <c r="D596" t="s">
        <v>9</v>
      </c>
      <c r="E596">
        <v>21</v>
      </c>
      <c r="F596" t="s">
        <v>13</v>
      </c>
      <c r="G596">
        <v>4</v>
      </c>
      <c r="H596">
        <v>500</v>
      </c>
      <c r="I596">
        <v>2000</v>
      </c>
    </row>
    <row r="597" spans="1:9" x14ac:dyDescent="0.25">
      <c r="A597">
        <v>596</v>
      </c>
      <c r="B597" s="1">
        <v>45876</v>
      </c>
      <c r="C597" t="s">
        <v>459</v>
      </c>
      <c r="D597" t="s">
        <v>9</v>
      </c>
      <c r="E597">
        <v>22</v>
      </c>
      <c r="F597" t="s">
        <v>15</v>
      </c>
      <c r="G597">
        <v>1</v>
      </c>
      <c r="H597">
        <v>300</v>
      </c>
      <c r="I597">
        <v>300</v>
      </c>
    </row>
    <row r="598" spans="1:9" x14ac:dyDescent="0.25">
      <c r="A598">
        <v>597</v>
      </c>
      <c r="B598" s="1">
        <v>45876</v>
      </c>
      <c r="C598" t="s">
        <v>460</v>
      </c>
      <c r="D598" t="s">
        <v>12</v>
      </c>
      <c r="E598">
        <v>54</v>
      </c>
      <c r="F598" t="s">
        <v>10</v>
      </c>
      <c r="G598">
        <v>4</v>
      </c>
      <c r="H598">
        <v>300</v>
      </c>
      <c r="I598">
        <v>1200</v>
      </c>
    </row>
    <row r="599" spans="1:9" x14ac:dyDescent="0.25">
      <c r="A599">
        <v>598</v>
      </c>
      <c r="B599" s="1">
        <v>45877</v>
      </c>
      <c r="C599" t="s">
        <v>461</v>
      </c>
      <c r="D599" t="s">
        <v>9</v>
      </c>
      <c r="E599">
        <v>25</v>
      </c>
      <c r="F599" t="s">
        <v>10</v>
      </c>
      <c r="G599">
        <v>4</v>
      </c>
      <c r="H599">
        <v>30</v>
      </c>
      <c r="I599">
        <v>120</v>
      </c>
    </row>
    <row r="600" spans="1:9" x14ac:dyDescent="0.25">
      <c r="A600">
        <v>599</v>
      </c>
      <c r="B600" s="1">
        <v>45877</v>
      </c>
      <c r="C600" t="s">
        <v>462</v>
      </c>
      <c r="D600" t="s">
        <v>12</v>
      </c>
      <c r="E600">
        <v>59</v>
      </c>
      <c r="F600" t="s">
        <v>10</v>
      </c>
      <c r="G600">
        <v>2</v>
      </c>
      <c r="H600">
        <v>50</v>
      </c>
      <c r="I600">
        <v>100</v>
      </c>
    </row>
    <row r="601" spans="1:9" x14ac:dyDescent="0.25">
      <c r="A601">
        <v>600</v>
      </c>
      <c r="B601" s="1">
        <v>45877</v>
      </c>
      <c r="C601" t="s">
        <v>463</v>
      </c>
      <c r="D601" t="s">
        <v>12</v>
      </c>
      <c r="E601">
        <v>45</v>
      </c>
      <c r="F601" t="s">
        <v>10</v>
      </c>
      <c r="G601">
        <v>2</v>
      </c>
      <c r="H601">
        <v>500</v>
      </c>
      <c r="I601">
        <v>1000</v>
      </c>
    </row>
    <row r="602" spans="1:9" x14ac:dyDescent="0.25">
      <c r="A602">
        <v>601</v>
      </c>
      <c r="B602" s="1">
        <v>45877</v>
      </c>
      <c r="C602" t="s">
        <v>464</v>
      </c>
      <c r="D602" t="s">
        <v>12</v>
      </c>
      <c r="E602">
        <v>48</v>
      </c>
      <c r="F602" t="s">
        <v>13</v>
      </c>
      <c r="G602">
        <v>1</v>
      </c>
      <c r="H602">
        <v>30</v>
      </c>
      <c r="I602">
        <v>30</v>
      </c>
    </row>
    <row r="603" spans="1:9" x14ac:dyDescent="0.25">
      <c r="A603">
        <v>602</v>
      </c>
      <c r="B603" s="1">
        <v>45878</v>
      </c>
      <c r="C603" t="s">
        <v>465</v>
      </c>
      <c r="D603" t="s">
        <v>12</v>
      </c>
      <c r="E603">
        <v>26</v>
      </c>
      <c r="F603" t="s">
        <v>15</v>
      </c>
      <c r="G603">
        <v>1</v>
      </c>
      <c r="H603">
        <v>300</v>
      </c>
      <c r="I603">
        <v>300</v>
      </c>
    </row>
    <row r="604" spans="1:9" x14ac:dyDescent="0.25">
      <c r="A604">
        <v>603</v>
      </c>
      <c r="B604" s="1">
        <v>45878</v>
      </c>
      <c r="C604" t="s">
        <v>466</v>
      </c>
      <c r="D604" t="s">
        <v>12</v>
      </c>
      <c r="E604">
        <v>46</v>
      </c>
      <c r="F604" t="s">
        <v>13</v>
      </c>
      <c r="G604">
        <v>3</v>
      </c>
      <c r="H604">
        <v>30</v>
      </c>
      <c r="I604">
        <v>90</v>
      </c>
    </row>
    <row r="605" spans="1:9" x14ac:dyDescent="0.25">
      <c r="A605">
        <v>604</v>
      </c>
      <c r="B605" s="1">
        <v>45878</v>
      </c>
      <c r="C605" t="s">
        <v>467</v>
      </c>
      <c r="D605" t="s">
        <v>9</v>
      </c>
      <c r="E605">
        <v>31</v>
      </c>
      <c r="F605" t="s">
        <v>15</v>
      </c>
      <c r="G605">
        <v>4</v>
      </c>
      <c r="H605">
        <v>50</v>
      </c>
      <c r="I605">
        <v>200</v>
      </c>
    </row>
    <row r="606" spans="1:9" x14ac:dyDescent="0.25">
      <c r="A606">
        <v>605</v>
      </c>
      <c r="B606" s="1">
        <v>45878</v>
      </c>
      <c r="C606" t="s">
        <v>468</v>
      </c>
      <c r="D606" t="s">
        <v>9</v>
      </c>
      <c r="E606">
        <v>57</v>
      </c>
      <c r="F606" t="s">
        <v>15</v>
      </c>
      <c r="G606">
        <v>2</v>
      </c>
      <c r="H606">
        <v>500</v>
      </c>
      <c r="I606">
        <v>1000</v>
      </c>
    </row>
    <row r="607" spans="1:9" x14ac:dyDescent="0.25">
      <c r="A607">
        <v>606</v>
      </c>
      <c r="B607" s="1">
        <v>45879</v>
      </c>
      <c r="C607" t="s">
        <v>469</v>
      </c>
      <c r="D607" t="s">
        <v>12</v>
      </c>
      <c r="E607">
        <v>58</v>
      </c>
      <c r="F607" t="s">
        <v>15</v>
      </c>
      <c r="G607">
        <v>1</v>
      </c>
      <c r="H607">
        <v>50</v>
      </c>
      <c r="I607">
        <v>50</v>
      </c>
    </row>
    <row r="608" spans="1:9" x14ac:dyDescent="0.25">
      <c r="A608">
        <v>607</v>
      </c>
      <c r="B608" s="1">
        <v>45880</v>
      </c>
      <c r="C608" t="s">
        <v>470</v>
      </c>
      <c r="D608" t="s">
        <v>12</v>
      </c>
      <c r="E608">
        <v>39</v>
      </c>
      <c r="F608" t="s">
        <v>13</v>
      </c>
      <c r="G608">
        <v>3</v>
      </c>
      <c r="H608">
        <v>25</v>
      </c>
      <c r="I608">
        <v>75</v>
      </c>
    </row>
    <row r="609" spans="1:9" x14ac:dyDescent="0.25">
      <c r="A609">
        <v>608</v>
      </c>
      <c r="B609" s="1">
        <v>45880</v>
      </c>
      <c r="C609" t="s">
        <v>471</v>
      </c>
      <c r="D609" t="s">
        <v>9</v>
      </c>
      <c r="E609">
        <v>28</v>
      </c>
      <c r="F609" t="s">
        <v>15</v>
      </c>
      <c r="G609">
        <v>3</v>
      </c>
      <c r="H609">
        <v>500</v>
      </c>
      <c r="I609">
        <v>1500</v>
      </c>
    </row>
    <row r="610" spans="1:9" x14ac:dyDescent="0.25">
      <c r="A610">
        <v>609</v>
      </c>
      <c r="B610" s="1">
        <v>45880</v>
      </c>
      <c r="C610" t="s">
        <v>472</v>
      </c>
      <c r="D610" t="s">
        <v>9</v>
      </c>
      <c r="E610">
        <v>40</v>
      </c>
      <c r="F610" t="s">
        <v>13</v>
      </c>
      <c r="G610">
        <v>2</v>
      </c>
      <c r="H610">
        <v>50</v>
      </c>
      <c r="I610">
        <v>100</v>
      </c>
    </row>
    <row r="611" spans="1:9" x14ac:dyDescent="0.25">
      <c r="A611">
        <v>610</v>
      </c>
      <c r="B611" s="1">
        <v>45881</v>
      </c>
      <c r="C611" t="s">
        <v>473</v>
      </c>
      <c r="D611" t="s">
        <v>12</v>
      </c>
      <c r="E611">
        <v>18</v>
      </c>
      <c r="F611" t="s">
        <v>10</v>
      </c>
      <c r="G611">
        <v>2</v>
      </c>
      <c r="H611">
        <v>300</v>
      </c>
      <c r="I611">
        <v>600</v>
      </c>
    </row>
    <row r="612" spans="1:9" x14ac:dyDescent="0.25">
      <c r="A612">
        <v>611</v>
      </c>
      <c r="B612" s="1">
        <v>45881</v>
      </c>
      <c r="C612" t="s">
        <v>474</v>
      </c>
      <c r="D612" t="s">
        <v>9</v>
      </c>
      <c r="E612">
        <v>63</v>
      </c>
      <c r="F612" t="s">
        <v>10</v>
      </c>
      <c r="G612">
        <v>3</v>
      </c>
      <c r="H612">
        <v>500</v>
      </c>
      <c r="I612">
        <v>1500</v>
      </c>
    </row>
    <row r="613" spans="1:9" x14ac:dyDescent="0.25">
      <c r="A613">
        <v>612</v>
      </c>
      <c r="B613" s="1">
        <v>45881</v>
      </c>
      <c r="C613" t="s">
        <v>475</v>
      </c>
      <c r="D613" t="s">
        <v>12</v>
      </c>
      <c r="E613">
        <v>54</v>
      </c>
      <c r="F613" t="s">
        <v>15</v>
      </c>
      <c r="G613">
        <v>1</v>
      </c>
      <c r="H613">
        <v>500</v>
      </c>
      <c r="I613">
        <v>500</v>
      </c>
    </row>
    <row r="614" spans="1:9" x14ac:dyDescent="0.25">
      <c r="A614">
        <v>613</v>
      </c>
      <c r="B614" s="1">
        <v>45881</v>
      </c>
      <c r="C614" t="s">
        <v>476</v>
      </c>
      <c r="D614" t="s">
        <v>9</v>
      </c>
      <c r="E614">
        <v>38</v>
      </c>
      <c r="F614" t="s">
        <v>13</v>
      </c>
      <c r="G614">
        <v>3</v>
      </c>
      <c r="H614">
        <v>30</v>
      </c>
      <c r="I614">
        <v>90</v>
      </c>
    </row>
    <row r="615" spans="1:9" x14ac:dyDescent="0.25">
      <c r="A615">
        <v>614</v>
      </c>
      <c r="B615" s="1">
        <v>45882</v>
      </c>
      <c r="C615" t="s">
        <v>477</v>
      </c>
      <c r="D615" t="s">
        <v>12</v>
      </c>
      <c r="E615">
        <v>43</v>
      </c>
      <c r="F615" t="s">
        <v>10</v>
      </c>
      <c r="G615">
        <v>4</v>
      </c>
      <c r="H615">
        <v>300</v>
      </c>
      <c r="I615">
        <v>1200</v>
      </c>
    </row>
    <row r="616" spans="1:9" x14ac:dyDescent="0.25">
      <c r="A616">
        <v>615</v>
      </c>
      <c r="B616" s="1">
        <v>45882</v>
      </c>
      <c r="C616" t="s">
        <v>478</v>
      </c>
      <c r="D616" t="s">
        <v>9</v>
      </c>
      <c r="E616">
        <v>63</v>
      </c>
      <c r="F616" t="s">
        <v>13</v>
      </c>
      <c r="G616">
        <v>4</v>
      </c>
      <c r="H616">
        <v>25</v>
      </c>
      <c r="I616">
        <v>100</v>
      </c>
    </row>
    <row r="617" spans="1:9" x14ac:dyDescent="0.25">
      <c r="A617">
        <v>616</v>
      </c>
      <c r="B617" s="1">
        <v>45883</v>
      </c>
      <c r="C617" t="s">
        <v>479</v>
      </c>
      <c r="D617" t="s">
        <v>12</v>
      </c>
      <c r="E617">
        <v>53</v>
      </c>
      <c r="F617" t="s">
        <v>13</v>
      </c>
      <c r="G617">
        <v>2</v>
      </c>
      <c r="H617">
        <v>50</v>
      </c>
      <c r="I617">
        <v>100</v>
      </c>
    </row>
    <row r="618" spans="1:9" x14ac:dyDescent="0.25">
      <c r="A618">
        <v>617</v>
      </c>
      <c r="B618" s="1">
        <v>45883</v>
      </c>
      <c r="C618" t="s">
        <v>480</v>
      </c>
      <c r="D618" t="s">
        <v>9</v>
      </c>
      <c r="E618">
        <v>40</v>
      </c>
      <c r="F618" t="s">
        <v>15</v>
      </c>
      <c r="G618">
        <v>1</v>
      </c>
      <c r="H618">
        <v>30</v>
      </c>
      <c r="I618">
        <v>30</v>
      </c>
    </row>
    <row r="619" spans="1:9" x14ac:dyDescent="0.25">
      <c r="A619">
        <v>618</v>
      </c>
      <c r="B619" s="1">
        <v>45884</v>
      </c>
      <c r="C619" t="s">
        <v>481</v>
      </c>
      <c r="D619" t="s">
        <v>9</v>
      </c>
      <c r="E619">
        <v>18</v>
      </c>
      <c r="F619" t="s">
        <v>10</v>
      </c>
      <c r="G619">
        <v>4</v>
      </c>
      <c r="H619">
        <v>50</v>
      </c>
      <c r="I619">
        <v>200</v>
      </c>
    </row>
    <row r="620" spans="1:9" x14ac:dyDescent="0.25">
      <c r="A620">
        <v>619</v>
      </c>
      <c r="B620" s="1">
        <v>45884</v>
      </c>
      <c r="C620" t="s">
        <v>482</v>
      </c>
      <c r="D620" t="s">
        <v>12</v>
      </c>
      <c r="E620">
        <v>57</v>
      </c>
      <c r="F620" t="s">
        <v>15</v>
      </c>
      <c r="G620">
        <v>4</v>
      </c>
      <c r="H620">
        <v>25</v>
      </c>
      <c r="I620">
        <v>100</v>
      </c>
    </row>
    <row r="621" spans="1:9" x14ac:dyDescent="0.25">
      <c r="A621">
        <v>620</v>
      </c>
      <c r="B621" s="1">
        <v>45884</v>
      </c>
      <c r="C621" t="s">
        <v>483</v>
      </c>
      <c r="D621" t="s">
        <v>9</v>
      </c>
      <c r="E621">
        <v>32</v>
      </c>
      <c r="F621" t="s">
        <v>15</v>
      </c>
      <c r="G621">
        <v>3</v>
      </c>
      <c r="H621">
        <v>25</v>
      </c>
      <c r="I621">
        <v>75</v>
      </c>
    </row>
    <row r="622" spans="1:9" x14ac:dyDescent="0.25">
      <c r="A622">
        <v>621</v>
      </c>
      <c r="B622" s="1">
        <v>45884</v>
      </c>
      <c r="C622" t="s">
        <v>484</v>
      </c>
      <c r="D622" t="s">
        <v>12</v>
      </c>
      <c r="E622">
        <v>38</v>
      </c>
      <c r="F622" t="s">
        <v>10</v>
      </c>
      <c r="G622">
        <v>2</v>
      </c>
      <c r="H622">
        <v>500</v>
      </c>
      <c r="I622">
        <v>1000</v>
      </c>
    </row>
    <row r="623" spans="1:9" x14ac:dyDescent="0.25">
      <c r="A623">
        <v>622</v>
      </c>
      <c r="B623" s="1">
        <v>45884</v>
      </c>
      <c r="C623" t="s">
        <v>485</v>
      </c>
      <c r="D623" t="s">
        <v>9</v>
      </c>
      <c r="E623">
        <v>64</v>
      </c>
      <c r="F623" t="s">
        <v>10</v>
      </c>
      <c r="G623">
        <v>3</v>
      </c>
      <c r="H623">
        <v>25</v>
      </c>
      <c r="I623">
        <v>75</v>
      </c>
    </row>
    <row r="624" spans="1:9" x14ac:dyDescent="0.25">
      <c r="A624">
        <v>623</v>
      </c>
      <c r="B624" s="1">
        <v>45884</v>
      </c>
      <c r="C624" t="s">
        <v>486</v>
      </c>
      <c r="D624" t="s">
        <v>12</v>
      </c>
      <c r="E624">
        <v>26</v>
      </c>
      <c r="F624" t="s">
        <v>13</v>
      </c>
      <c r="G624">
        <v>3</v>
      </c>
      <c r="H624">
        <v>50</v>
      </c>
      <c r="I624">
        <v>150</v>
      </c>
    </row>
    <row r="625" spans="1:9" x14ac:dyDescent="0.25">
      <c r="A625">
        <v>624</v>
      </c>
      <c r="B625" s="1">
        <v>45886</v>
      </c>
      <c r="C625" t="s">
        <v>487</v>
      </c>
      <c r="D625" t="s">
        <v>9</v>
      </c>
      <c r="E625">
        <v>26</v>
      </c>
      <c r="F625" t="s">
        <v>10</v>
      </c>
      <c r="G625">
        <v>3</v>
      </c>
      <c r="H625">
        <v>300</v>
      </c>
      <c r="I625">
        <v>900</v>
      </c>
    </row>
    <row r="626" spans="1:9" x14ac:dyDescent="0.25">
      <c r="A626">
        <v>625</v>
      </c>
      <c r="B626" s="1">
        <v>45887</v>
      </c>
      <c r="C626" t="s">
        <v>488</v>
      </c>
      <c r="D626" t="s">
        <v>12</v>
      </c>
      <c r="E626">
        <v>27</v>
      </c>
      <c r="F626" t="s">
        <v>13</v>
      </c>
      <c r="G626">
        <v>1</v>
      </c>
      <c r="H626">
        <v>300</v>
      </c>
      <c r="I626">
        <v>300</v>
      </c>
    </row>
    <row r="627" spans="1:9" x14ac:dyDescent="0.25">
      <c r="A627">
        <v>626</v>
      </c>
      <c r="B627" s="1">
        <v>45887</v>
      </c>
      <c r="C627" t="s">
        <v>489</v>
      </c>
      <c r="D627" t="s">
        <v>9</v>
      </c>
      <c r="E627">
        <v>43</v>
      </c>
      <c r="F627" t="s">
        <v>13</v>
      </c>
      <c r="G627">
        <v>4</v>
      </c>
      <c r="H627">
        <v>500</v>
      </c>
      <c r="I627">
        <v>2000</v>
      </c>
    </row>
    <row r="628" spans="1:9" x14ac:dyDescent="0.25">
      <c r="A628">
        <v>627</v>
      </c>
      <c r="B628" s="1">
        <v>45887</v>
      </c>
      <c r="C628" t="s">
        <v>490</v>
      </c>
      <c r="D628" t="s">
        <v>12</v>
      </c>
      <c r="E628">
        <v>58</v>
      </c>
      <c r="F628" t="s">
        <v>13</v>
      </c>
      <c r="G628">
        <v>1</v>
      </c>
      <c r="H628">
        <v>50</v>
      </c>
      <c r="I628">
        <v>50</v>
      </c>
    </row>
    <row r="629" spans="1:9" x14ac:dyDescent="0.25">
      <c r="A629">
        <v>628</v>
      </c>
      <c r="B629" s="1">
        <v>45888</v>
      </c>
      <c r="C629" t="s">
        <v>491</v>
      </c>
      <c r="D629" t="s">
        <v>9</v>
      </c>
      <c r="E629">
        <v>52</v>
      </c>
      <c r="F629" t="s">
        <v>10</v>
      </c>
      <c r="G629">
        <v>4</v>
      </c>
      <c r="H629">
        <v>50</v>
      </c>
      <c r="I629">
        <v>200</v>
      </c>
    </row>
    <row r="630" spans="1:9" x14ac:dyDescent="0.25">
      <c r="A630">
        <v>629</v>
      </c>
      <c r="B630" s="1">
        <v>45888</v>
      </c>
      <c r="C630" t="s">
        <v>492</v>
      </c>
      <c r="D630" t="s">
        <v>12</v>
      </c>
      <c r="E630">
        <v>42</v>
      </c>
      <c r="F630" t="s">
        <v>15</v>
      </c>
      <c r="G630">
        <v>2</v>
      </c>
      <c r="H630">
        <v>25</v>
      </c>
      <c r="I630">
        <v>50</v>
      </c>
    </row>
    <row r="631" spans="1:9" x14ac:dyDescent="0.25">
      <c r="A631">
        <v>630</v>
      </c>
      <c r="B631" s="1">
        <v>45888</v>
      </c>
      <c r="C631" t="s">
        <v>493</v>
      </c>
      <c r="D631" t="s">
        <v>12</v>
      </c>
      <c r="E631">
        <v>43</v>
      </c>
      <c r="F631" t="s">
        <v>13</v>
      </c>
      <c r="G631">
        <v>2</v>
      </c>
      <c r="H631">
        <v>50</v>
      </c>
      <c r="I631">
        <v>100</v>
      </c>
    </row>
    <row r="632" spans="1:9" x14ac:dyDescent="0.25">
      <c r="A632">
        <v>631</v>
      </c>
      <c r="B632" s="1">
        <v>45888</v>
      </c>
      <c r="C632" t="s">
        <v>494</v>
      </c>
      <c r="D632" t="s">
        <v>12</v>
      </c>
      <c r="E632">
        <v>28</v>
      </c>
      <c r="F632" t="s">
        <v>15</v>
      </c>
      <c r="G632">
        <v>3</v>
      </c>
      <c r="H632">
        <v>30</v>
      </c>
      <c r="I632">
        <v>90</v>
      </c>
    </row>
    <row r="633" spans="1:9" x14ac:dyDescent="0.25">
      <c r="A633">
        <v>632</v>
      </c>
      <c r="B633" s="1">
        <v>45889</v>
      </c>
      <c r="C633" t="s">
        <v>495</v>
      </c>
      <c r="D633" t="s">
        <v>9</v>
      </c>
      <c r="E633">
        <v>55</v>
      </c>
      <c r="F633" t="s">
        <v>15</v>
      </c>
      <c r="G633">
        <v>4</v>
      </c>
      <c r="H633">
        <v>25</v>
      </c>
      <c r="I633">
        <v>100</v>
      </c>
    </row>
    <row r="634" spans="1:9" x14ac:dyDescent="0.25">
      <c r="A634">
        <v>633</v>
      </c>
      <c r="B634" s="1">
        <v>45890</v>
      </c>
      <c r="C634" t="s">
        <v>496</v>
      </c>
      <c r="D634" t="s">
        <v>12</v>
      </c>
      <c r="E634">
        <v>19</v>
      </c>
      <c r="F634" t="s">
        <v>10</v>
      </c>
      <c r="G634">
        <v>4</v>
      </c>
      <c r="H634">
        <v>30</v>
      </c>
      <c r="I634">
        <v>120</v>
      </c>
    </row>
    <row r="635" spans="1:9" x14ac:dyDescent="0.25">
      <c r="A635">
        <v>634</v>
      </c>
      <c r="B635" s="1">
        <v>45890</v>
      </c>
      <c r="C635" t="s">
        <v>497</v>
      </c>
      <c r="D635" t="s">
        <v>9</v>
      </c>
      <c r="E635">
        <v>24</v>
      </c>
      <c r="F635" t="s">
        <v>15</v>
      </c>
      <c r="G635">
        <v>4</v>
      </c>
      <c r="H635">
        <v>500</v>
      </c>
      <c r="I635">
        <v>2000</v>
      </c>
    </row>
    <row r="636" spans="1:9" x14ac:dyDescent="0.25">
      <c r="A636">
        <v>635</v>
      </c>
      <c r="B636" s="1">
        <v>45890</v>
      </c>
      <c r="C636" t="s">
        <v>498</v>
      </c>
      <c r="D636" t="s">
        <v>12</v>
      </c>
      <c r="E636">
        <v>35</v>
      </c>
      <c r="F636" t="s">
        <v>15</v>
      </c>
      <c r="G636">
        <v>3</v>
      </c>
      <c r="H636">
        <v>300</v>
      </c>
      <c r="I636">
        <v>900</v>
      </c>
    </row>
    <row r="637" spans="1:9" x14ac:dyDescent="0.25">
      <c r="A637">
        <v>636</v>
      </c>
      <c r="B637" s="1">
        <v>45890</v>
      </c>
      <c r="C637" t="s">
        <v>499</v>
      </c>
      <c r="D637" t="s">
        <v>9</v>
      </c>
      <c r="E637">
        <v>44</v>
      </c>
      <c r="F637" t="s">
        <v>10</v>
      </c>
      <c r="G637">
        <v>3</v>
      </c>
      <c r="H637">
        <v>500</v>
      </c>
      <c r="I637">
        <v>1500</v>
      </c>
    </row>
    <row r="638" spans="1:9" x14ac:dyDescent="0.25">
      <c r="A638">
        <v>637</v>
      </c>
      <c r="B638" s="1">
        <v>45890</v>
      </c>
      <c r="C638" t="s">
        <v>500</v>
      </c>
      <c r="D638" t="s">
        <v>12</v>
      </c>
      <c r="E638">
        <v>51</v>
      </c>
      <c r="F638" t="s">
        <v>13</v>
      </c>
      <c r="G638">
        <v>2</v>
      </c>
      <c r="H638">
        <v>300</v>
      </c>
      <c r="I638">
        <v>600</v>
      </c>
    </row>
    <row r="639" spans="1:9" x14ac:dyDescent="0.25">
      <c r="A639">
        <v>638</v>
      </c>
      <c r="B639" s="1">
        <v>45890</v>
      </c>
      <c r="C639" t="s">
        <v>501</v>
      </c>
      <c r="D639" t="s">
        <v>9</v>
      </c>
      <c r="E639">
        <v>44</v>
      </c>
      <c r="F639" t="s">
        <v>15</v>
      </c>
      <c r="G639">
        <v>1</v>
      </c>
      <c r="H639">
        <v>500</v>
      </c>
      <c r="I639">
        <v>500</v>
      </c>
    </row>
    <row r="640" spans="1:9" x14ac:dyDescent="0.25">
      <c r="A640">
        <v>639</v>
      </c>
      <c r="B640" s="1">
        <v>45891</v>
      </c>
      <c r="C640" t="s">
        <v>502</v>
      </c>
      <c r="D640" t="s">
        <v>9</v>
      </c>
      <c r="E640">
        <v>34</v>
      </c>
      <c r="F640" t="s">
        <v>10</v>
      </c>
      <c r="G640">
        <v>4</v>
      </c>
      <c r="H640">
        <v>50</v>
      </c>
      <c r="I640">
        <v>200</v>
      </c>
    </row>
    <row r="641" spans="1:9" x14ac:dyDescent="0.25">
      <c r="A641">
        <v>640</v>
      </c>
      <c r="B641" s="1">
        <v>45891</v>
      </c>
      <c r="C641" t="s">
        <v>503</v>
      </c>
      <c r="D641" t="s">
        <v>12</v>
      </c>
      <c r="E641">
        <v>60</v>
      </c>
      <c r="F641" t="s">
        <v>15</v>
      </c>
      <c r="G641">
        <v>4</v>
      </c>
      <c r="H641">
        <v>30</v>
      </c>
      <c r="I641">
        <v>120</v>
      </c>
    </row>
    <row r="642" spans="1:9" x14ac:dyDescent="0.25">
      <c r="A642">
        <v>641</v>
      </c>
      <c r="B642" s="1">
        <v>45892</v>
      </c>
      <c r="C642" t="s">
        <v>504</v>
      </c>
      <c r="D642" t="s">
        <v>9</v>
      </c>
      <c r="E642">
        <v>61</v>
      </c>
      <c r="F642" t="s">
        <v>15</v>
      </c>
      <c r="G642">
        <v>1</v>
      </c>
      <c r="H642">
        <v>300</v>
      </c>
      <c r="I642">
        <v>300</v>
      </c>
    </row>
    <row r="643" spans="1:9" x14ac:dyDescent="0.25">
      <c r="A643">
        <v>642</v>
      </c>
      <c r="B643" s="1">
        <v>45892</v>
      </c>
      <c r="C643" t="s">
        <v>505</v>
      </c>
      <c r="D643" t="s">
        <v>9</v>
      </c>
      <c r="E643">
        <v>41</v>
      </c>
      <c r="F643" t="s">
        <v>13</v>
      </c>
      <c r="G643">
        <v>4</v>
      </c>
      <c r="H643">
        <v>25</v>
      </c>
      <c r="I643">
        <v>100</v>
      </c>
    </row>
    <row r="644" spans="1:9" x14ac:dyDescent="0.25">
      <c r="A644">
        <v>643</v>
      </c>
      <c r="B644" s="1">
        <v>45892</v>
      </c>
      <c r="C644" t="s">
        <v>506</v>
      </c>
      <c r="D644" t="s">
        <v>12</v>
      </c>
      <c r="E644">
        <v>42</v>
      </c>
      <c r="F644" t="s">
        <v>15</v>
      </c>
      <c r="G644">
        <v>3</v>
      </c>
      <c r="H644">
        <v>30</v>
      </c>
      <c r="I644">
        <v>90</v>
      </c>
    </row>
    <row r="645" spans="1:9" x14ac:dyDescent="0.25">
      <c r="A645">
        <v>644</v>
      </c>
      <c r="B645" s="1">
        <v>45893</v>
      </c>
      <c r="C645" t="s">
        <v>507</v>
      </c>
      <c r="D645" t="s">
        <v>9</v>
      </c>
      <c r="E645">
        <v>24</v>
      </c>
      <c r="F645" t="s">
        <v>10</v>
      </c>
      <c r="G645">
        <v>3</v>
      </c>
      <c r="H645">
        <v>25</v>
      </c>
      <c r="I645">
        <v>75</v>
      </c>
    </row>
    <row r="646" spans="1:9" x14ac:dyDescent="0.25">
      <c r="A646">
        <v>645</v>
      </c>
      <c r="B646" s="1">
        <v>45893</v>
      </c>
      <c r="C646" t="s">
        <v>508</v>
      </c>
      <c r="D646" t="s">
        <v>9</v>
      </c>
      <c r="E646">
        <v>23</v>
      </c>
      <c r="F646" t="s">
        <v>15</v>
      </c>
      <c r="G646">
        <v>4</v>
      </c>
      <c r="H646">
        <v>30</v>
      </c>
      <c r="I646">
        <v>120</v>
      </c>
    </row>
    <row r="647" spans="1:9" x14ac:dyDescent="0.25">
      <c r="A647">
        <v>646</v>
      </c>
      <c r="B647" s="1">
        <v>45893</v>
      </c>
      <c r="C647" t="s">
        <v>509</v>
      </c>
      <c r="D647" t="s">
        <v>9</v>
      </c>
      <c r="E647">
        <v>41</v>
      </c>
      <c r="F647" t="s">
        <v>13</v>
      </c>
      <c r="G647">
        <v>3</v>
      </c>
      <c r="H647">
        <v>30</v>
      </c>
      <c r="I647">
        <v>90</v>
      </c>
    </row>
    <row r="648" spans="1:9" x14ac:dyDescent="0.25">
      <c r="A648">
        <v>647</v>
      </c>
      <c r="B648" s="1">
        <v>45894</v>
      </c>
      <c r="C648" t="s">
        <v>510</v>
      </c>
      <c r="D648" t="s">
        <v>12</v>
      </c>
      <c r="E648">
        <v>50</v>
      </c>
      <c r="F648" t="s">
        <v>13</v>
      </c>
      <c r="G648">
        <v>3</v>
      </c>
      <c r="H648">
        <v>500</v>
      </c>
      <c r="I648">
        <v>1500</v>
      </c>
    </row>
    <row r="649" spans="1:9" x14ac:dyDescent="0.25">
      <c r="A649">
        <v>648</v>
      </c>
      <c r="B649" s="1">
        <v>45894</v>
      </c>
      <c r="C649" t="s">
        <v>511</v>
      </c>
      <c r="D649" t="s">
        <v>9</v>
      </c>
      <c r="E649">
        <v>46</v>
      </c>
      <c r="F649" t="s">
        <v>10</v>
      </c>
      <c r="G649">
        <v>4</v>
      </c>
      <c r="H649">
        <v>300</v>
      </c>
      <c r="I649">
        <v>1200</v>
      </c>
    </row>
    <row r="650" spans="1:9" x14ac:dyDescent="0.25">
      <c r="A650">
        <v>649</v>
      </c>
      <c r="B650" s="1">
        <v>45894</v>
      </c>
      <c r="C650" t="s">
        <v>512</v>
      </c>
      <c r="D650" t="s">
        <v>12</v>
      </c>
      <c r="E650">
        <v>60</v>
      </c>
      <c r="F650" t="s">
        <v>13</v>
      </c>
      <c r="G650">
        <v>2</v>
      </c>
      <c r="H650">
        <v>300</v>
      </c>
      <c r="I650">
        <v>600</v>
      </c>
    </row>
    <row r="651" spans="1:9" x14ac:dyDescent="0.25">
      <c r="A651">
        <v>650</v>
      </c>
      <c r="B651" s="1">
        <v>45895</v>
      </c>
      <c r="C651" t="s">
        <v>513</v>
      </c>
      <c r="D651" t="s">
        <v>9</v>
      </c>
      <c r="E651">
        <v>39</v>
      </c>
      <c r="F651" t="s">
        <v>15</v>
      </c>
      <c r="G651">
        <v>1</v>
      </c>
      <c r="H651">
        <v>30</v>
      </c>
      <c r="I651">
        <v>30</v>
      </c>
    </row>
    <row r="652" spans="1:9" x14ac:dyDescent="0.25">
      <c r="A652">
        <v>651</v>
      </c>
      <c r="B652" s="1">
        <v>45895</v>
      </c>
      <c r="C652" t="s">
        <v>514</v>
      </c>
      <c r="D652" t="s">
        <v>9</v>
      </c>
      <c r="E652">
        <v>43</v>
      </c>
      <c r="F652" t="s">
        <v>13</v>
      </c>
      <c r="G652">
        <v>3</v>
      </c>
      <c r="H652">
        <v>50</v>
      </c>
      <c r="I652">
        <v>150</v>
      </c>
    </row>
    <row r="653" spans="1:9" x14ac:dyDescent="0.25">
      <c r="A653">
        <v>652</v>
      </c>
      <c r="B653" s="1">
        <v>45895</v>
      </c>
      <c r="C653" t="s">
        <v>515</v>
      </c>
      <c r="D653" t="s">
        <v>9</v>
      </c>
      <c r="E653">
        <v>45</v>
      </c>
      <c r="F653" t="s">
        <v>10</v>
      </c>
      <c r="G653">
        <v>2</v>
      </c>
      <c r="H653">
        <v>50</v>
      </c>
      <c r="I653">
        <v>100</v>
      </c>
    </row>
    <row r="654" spans="1:9" x14ac:dyDescent="0.25">
      <c r="A654">
        <v>653</v>
      </c>
      <c r="B654" s="1">
        <v>45896</v>
      </c>
      <c r="C654" t="s">
        <v>516</v>
      </c>
      <c r="D654" t="s">
        <v>12</v>
      </c>
      <c r="E654">
        <v>38</v>
      </c>
      <c r="F654" t="s">
        <v>13</v>
      </c>
      <c r="G654">
        <v>3</v>
      </c>
      <c r="H654">
        <v>25</v>
      </c>
      <c r="I654">
        <v>75</v>
      </c>
    </row>
    <row r="655" spans="1:9" x14ac:dyDescent="0.25">
      <c r="A655">
        <v>654</v>
      </c>
      <c r="B655" s="1">
        <v>45896</v>
      </c>
      <c r="C655" t="s">
        <v>517</v>
      </c>
      <c r="D655" t="s">
        <v>9</v>
      </c>
      <c r="E655">
        <v>24</v>
      </c>
      <c r="F655" t="s">
        <v>13</v>
      </c>
      <c r="G655">
        <v>3</v>
      </c>
      <c r="H655">
        <v>25</v>
      </c>
      <c r="I655">
        <v>75</v>
      </c>
    </row>
    <row r="656" spans="1:9" x14ac:dyDescent="0.25">
      <c r="A656">
        <v>655</v>
      </c>
      <c r="B656" s="1">
        <v>45896</v>
      </c>
      <c r="C656" t="s">
        <v>518</v>
      </c>
      <c r="D656" t="s">
        <v>9</v>
      </c>
      <c r="E656">
        <v>34</v>
      </c>
      <c r="F656" t="s">
        <v>13</v>
      </c>
      <c r="G656">
        <v>1</v>
      </c>
      <c r="H656">
        <v>500</v>
      </c>
      <c r="I656">
        <v>500</v>
      </c>
    </row>
    <row r="657" spans="1:9" x14ac:dyDescent="0.25">
      <c r="A657">
        <v>656</v>
      </c>
      <c r="B657" s="1">
        <v>45896</v>
      </c>
      <c r="C657" t="s">
        <v>519</v>
      </c>
      <c r="D657" t="s">
        <v>12</v>
      </c>
      <c r="E657">
        <v>37</v>
      </c>
      <c r="F657" t="s">
        <v>10</v>
      </c>
      <c r="G657">
        <v>3</v>
      </c>
      <c r="H657">
        <v>30</v>
      </c>
      <c r="I657">
        <v>90</v>
      </c>
    </row>
    <row r="658" spans="1:9" x14ac:dyDescent="0.25">
      <c r="A658">
        <v>657</v>
      </c>
      <c r="B658" s="1">
        <v>45897</v>
      </c>
      <c r="C658" t="s">
        <v>520</v>
      </c>
      <c r="D658" t="s">
        <v>9</v>
      </c>
      <c r="E658">
        <v>58</v>
      </c>
      <c r="F658" t="s">
        <v>13</v>
      </c>
      <c r="G658">
        <v>1</v>
      </c>
      <c r="H658">
        <v>25</v>
      </c>
      <c r="I658">
        <v>25</v>
      </c>
    </row>
    <row r="659" spans="1:9" x14ac:dyDescent="0.25">
      <c r="A659">
        <v>658</v>
      </c>
      <c r="B659" s="1">
        <v>45897</v>
      </c>
      <c r="C659" t="s">
        <v>521</v>
      </c>
      <c r="D659" t="s">
        <v>12</v>
      </c>
      <c r="E659">
        <v>37</v>
      </c>
      <c r="F659" t="s">
        <v>13</v>
      </c>
      <c r="G659">
        <v>3</v>
      </c>
      <c r="H659">
        <v>25</v>
      </c>
      <c r="I659">
        <v>75</v>
      </c>
    </row>
    <row r="660" spans="1:9" x14ac:dyDescent="0.25">
      <c r="A660">
        <v>659</v>
      </c>
      <c r="B660" s="1">
        <v>45897</v>
      </c>
      <c r="C660" t="s">
        <v>522</v>
      </c>
      <c r="D660" t="s">
        <v>12</v>
      </c>
      <c r="E660">
        <v>39</v>
      </c>
      <c r="F660" t="s">
        <v>15</v>
      </c>
      <c r="G660">
        <v>1</v>
      </c>
      <c r="H660">
        <v>30</v>
      </c>
      <c r="I660">
        <v>30</v>
      </c>
    </row>
    <row r="661" spans="1:9" x14ac:dyDescent="0.25">
      <c r="A661">
        <v>660</v>
      </c>
      <c r="B661" s="1">
        <v>45898</v>
      </c>
      <c r="C661" t="s">
        <v>523</v>
      </c>
      <c r="D661" t="s">
        <v>9</v>
      </c>
      <c r="E661">
        <v>45</v>
      </c>
      <c r="F661" t="s">
        <v>10</v>
      </c>
      <c r="G661">
        <v>2</v>
      </c>
      <c r="H661">
        <v>500</v>
      </c>
      <c r="I661">
        <v>1000</v>
      </c>
    </row>
    <row r="662" spans="1:9" x14ac:dyDescent="0.25">
      <c r="A662">
        <v>661</v>
      </c>
      <c r="B662" s="1">
        <v>45898</v>
      </c>
      <c r="C662" t="s">
        <v>524</v>
      </c>
      <c r="D662" t="s">
        <v>12</v>
      </c>
      <c r="E662">
        <v>57</v>
      </c>
      <c r="F662" t="s">
        <v>13</v>
      </c>
      <c r="G662">
        <v>4</v>
      </c>
      <c r="H662">
        <v>25</v>
      </c>
      <c r="I662">
        <v>100</v>
      </c>
    </row>
    <row r="663" spans="1:9" x14ac:dyDescent="0.25">
      <c r="A663">
        <v>662</v>
      </c>
      <c r="B663" s="1">
        <v>45898</v>
      </c>
      <c r="C663" t="s">
        <v>525</v>
      </c>
      <c r="D663" t="s">
        <v>9</v>
      </c>
      <c r="E663">
        <v>24</v>
      </c>
      <c r="F663" t="s">
        <v>10</v>
      </c>
      <c r="G663">
        <v>2</v>
      </c>
      <c r="H663">
        <v>500</v>
      </c>
      <c r="I663">
        <v>1000</v>
      </c>
    </row>
    <row r="664" spans="1:9" x14ac:dyDescent="0.25">
      <c r="A664">
        <v>663</v>
      </c>
      <c r="B664" s="1">
        <v>45898</v>
      </c>
      <c r="C664" t="s">
        <v>526</v>
      </c>
      <c r="D664" t="s">
        <v>12</v>
      </c>
      <c r="E664">
        <v>18</v>
      </c>
      <c r="F664" t="s">
        <v>13</v>
      </c>
      <c r="G664">
        <v>4</v>
      </c>
      <c r="H664">
        <v>300</v>
      </c>
      <c r="I664">
        <v>1200</v>
      </c>
    </row>
    <row r="665" spans="1:9" x14ac:dyDescent="0.25">
      <c r="A665">
        <v>664</v>
      </c>
      <c r="B665" s="1">
        <v>45900</v>
      </c>
      <c r="C665" t="s">
        <v>527</v>
      </c>
      <c r="D665" t="s">
        <v>12</v>
      </c>
      <c r="E665">
        <v>49</v>
      </c>
      <c r="F665" t="s">
        <v>13</v>
      </c>
      <c r="G665">
        <v>4</v>
      </c>
      <c r="H665">
        <v>500</v>
      </c>
      <c r="I665">
        <v>2000</v>
      </c>
    </row>
    <row r="666" spans="1:9" x14ac:dyDescent="0.25">
      <c r="A666">
        <v>665</v>
      </c>
      <c r="B666" s="1">
        <v>45900</v>
      </c>
      <c r="C666" t="s">
        <v>528</v>
      </c>
      <c r="D666" t="s">
        <v>9</v>
      </c>
      <c r="E666">
        <v>30</v>
      </c>
      <c r="F666" t="s">
        <v>13</v>
      </c>
      <c r="G666">
        <v>1</v>
      </c>
      <c r="H666">
        <v>50</v>
      </c>
      <c r="I666">
        <v>50</v>
      </c>
    </row>
    <row r="667" spans="1:9" x14ac:dyDescent="0.25">
      <c r="A667">
        <v>666</v>
      </c>
      <c r="B667" s="1">
        <v>45900</v>
      </c>
      <c r="C667" t="s">
        <v>529</v>
      </c>
      <c r="D667" t="s">
        <v>12</v>
      </c>
      <c r="E667">
        <v>47</v>
      </c>
      <c r="F667" t="s">
        <v>15</v>
      </c>
      <c r="G667">
        <v>3</v>
      </c>
      <c r="H667">
        <v>50</v>
      </c>
      <c r="I667">
        <v>150</v>
      </c>
    </row>
    <row r="668" spans="1:9" x14ac:dyDescent="0.25">
      <c r="A668">
        <v>667</v>
      </c>
      <c r="B668" s="1">
        <v>45900</v>
      </c>
      <c r="C668" t="s">
        <v>530</v>
      </c>
      <c r="D668" t="s">
        <v>12</v>
      </c>
      <c r="E668">
        <v>40</v>
      </c>
      <c r="F668" t="s">
        <v>15</v>
      </c>
      <c r="G668">
        <v>1</v>
      </c>
      <c r="H668">
        <v>500</v>
      </c>
      <c r="I668">
        <v>500</v>
      </c>
    </row>
    <row r="669" spans="1:9" x14ac:dyDescent="0.25">
      <c r="A669">
        <v>668</v>
      </c>
      <c r="B669" s="1">
        <v>45900</v>
      </c>
      <c r="C669" t="s">
        <v>531</v>
      </c>
      <c r="D669" t="s">
        <v>12</v>
      </c>
      <c r="E669">
        <v>36</v>
      </c>
      <c r="F669" t="s">
        <v>15</v>
      </c>
      <c r="G669">
        <v>3</v>
      </c>
      <c r="H669">
        <v>50</v>
      </c>
      <c r="I669">
        <v>150</v>
      </c>
    </row>
    <row r="670" spans="1:9" x14ac:dyDescent="0.25">
      <c r="A670">
        <v>669</v>
      </c>
      <c r="B670" s="1">
        <v>45901</v>
      </c>
      <c r="C670" t="s">
        <v>532</v>
      </c>
      <c r="D670" t="s">
        <v>12</v>
      </c>
      <c r="E670">
        <v>49</v>
      </c>
      <c r="F670" t="s">
        <v>10</v>
      </c>
      <c r="G670">
        <v>4</v>
      </c>
      <c r="H670">
        <v>300</v>
      </c>
      <c r="I670">
        <v>1200</v>
      </c>
    </row>
    <row r="671" spans="1:9" x14ac:dyDescent="0.25">
      <c r="A671">
        <v>670</v>
      </c>
      <c r="B671" s="1">
        <v>45901</v>
      </c>
      <c r="C671" t="s">
        <v>533</v>
      </c>
      <c r="D671" t="s">
        <v>12</v>
      </c>
      <c r="E671">
        <v>47</v>
      </c>
      <c r="F671" t="s">
        <v>10</v>
      </c>
      <c r="G671">
        <v>1</v>
      </c>
      <c r="H671">
        <v>30</v>
      </c>
      <c r="I671">
        <v>30</v>
      </c>
    </row>
    <row r="672" spans="1:9" x14ac:dyDescent="0.25">
      <c r="A672">
        <v>671</v>
      </c>
      <c r="B672" s="1">
        <v>45901</v>
      </c>
      <c r="C672" t="s">
        <v>534</v>
      </c>
      <c r="D672" t="s">
        <v>9</v>
      </c>
      <c r="E672">
        <v>46</v>
      </c>
      <c r="F672" t="s">
        <v>15</v>
      </c>
      <c r="G672">
        <v>3</v>
      </c>
      <c r="H672">
        <v>50</v>
      </c>
      <c r="I672">
        <v>150</v>
      </c>
    </row>
    <row r="673" spans="1:9" x14ac:dyDescent="0.25">
      <c r="A673">
        <v>672</v>
      </c>
      <c r="B673" s="1">
        <v>45901</v>
      </c>
      <c r="C673" t="s">
        <v>535</v>
      </c>
      <c r="D673" t="s">
        <v>12</v>
      </c>
      <c r="E673">
        <v>62</v>
      </c>
      <c r="F673" t="s">
        <v>10</v>
      </c>
      <c r="G673">
        <v>2</v>
      </c>
      <c r="H673">
        <v>50</v>
      </c>
      <c r="I673">
        <v>100</v>
      </c>
    </row>
    <row r="674" spans="1:9" x14ac:dyDescent="0.25">
      <c r="A674">
        <v>673</v>
      </c>
      <c r="B674" s="1">
        <v>45902</v>
      </c>
      <c r="C674" t="s">
        <v>536</v>
      </c>
      <c r="D674" t="s">
        <v>9</v>
      </c>
      <c r="E674">
        <v>46</v>
      </c>
      <c r="F674" t="s">
        <v>13</v>
      </c>
      <c r="G674">
        <v>3</v>
      </c>
      <c r="H674">
        <v>500</v>
      </c>
      <c r="I674">
        <v>1500</v>
      </c>
    </row>
    <row r="675" spans="1:9" x14ac:dyDescent="0.25">
      <c r="A675">
        <v>674</v>
      </c>
      <c r="B675" s="1">
        <v>45902</v>
      </c>
      <c r="C675" t="s">
        <v>537</v>
      </c>
      <c r="D675" t="s">
        <v>12</v>
      </c>
      <c r="E675">
        <v>47</v>
      </c>
      <c r="F675" t="s">
        <v>13</v>
      </c>
      <c r="G675">
        <v>1</v>
      </c>
      <c r="H675">
        <v>300</v>
      </c>
      <c r="I675">
        <v>300</v>
      </c>
    </row>
    <row r="676" spans="1:9" x14ac:dyDescent="0.25">
      <c r="A676">
        <v>675</v>
      </c>
      <c r="B676" s="1">
        <v>45902</v>
      </c>
      <c r="C676" t="s">
        <v>538</v>
      </c>
      <c r="D676" t="s">
        <v>9</v>
      </c>
      <c r="E676">
        <v>33</v>
      </c>
      <c r="F676" t="s">
        <v>13</v>
      </c>
      <c r="G676">
        <v>2</v>
      </c>
      <c r="H676">
        <v>30</v>
      </c>
      <c r="I676">
        <v>60</v>
      </c>
    </row>
    <row r="677" spans="1:9" x14ac:dyDescent="0.25">
      <c r="A677">
        <v>676</v>
      </c>
      <c r="B677" s="1">
        <v>45903</v>
      </c>
      <c r="C677" t="s">
        <v>539</v>
      </c>
      <c r="D677" t="s">
        <v>9</v>
      </c>
      <c r="E677">
        <v>57</v>
      </c>
      <c r="F677" t="s">
        <v>15</v>
      </c>
      <c r="G677">
        <v>3</v>
      </c>
      <c r="H677">
        <v>500</v>
      </c>
      <c r="I677">
        <v>1500</v>
      </c>
    </row>
    <row r="678" spans="1:9" x14ac:dyDescent="0.25">
      <c r="A678">
        <v>677</v>
      </c>
      <c r="B678" s="1">
        <v>45904</v>
      </c>
      <c r="C678" t="s">
        <v>540</v>
      </c>
      <c r="D678" t="s">
        <v>12</v>
      </c>
      <c r="E678">
        <v>36</v>
      </c>
      <c r="F678" t="s">
        <v>10</v>
      </c>
      <c r="G678">
        <v>3</v>
      </c>
      <c r="H678">
        <v>500</v>
      </c>
      <c r="I678">
        <v>1500</v>
      </c>
    </row>
    <row r="679" spans="1:9" x14ac:dyDescent="0.25">
      <c r="A679">
        <v>678</v>
      </c>
      <c r="B679" s="1">
        <v>45905</v>
      </c>
      <c r="C679" t="s">
        <v>541</v>
      </c>
      <c r="D679" t="s">
        <v>12</v>
      </c>
      <c r="E679">
        <v>35</v>
      </c>
      <c r="F679" t="s">
        <v>15</v>
      </c>
      <c r="G679">
        <v>3</v>
      </c>
      <c r="H679">
        <v>300</v>
      </c>
      <c r="I679">
        <v>900</v>
      </c>
    </row>
    <row r="680" spans="1:9" x14ac:dyDescent="0.25">
      <c r="A680">
        <v>679</v>
      </c>
      <c r="B680" s="1">
        <v>45905</v>
      </c>
      <c r="C680" t="s">
        <v>542</v>
      </c>
      <c r="D680" t="s">
        <v>12</v>
      </c>
      <c r="E680">
        <v>18</v>
      </c>
      <c r="F680" t="s">
        <v>10</v>
      </c>
      <c r="G680">
        <v>3</v>
      </c>
      <c r="H680">
        <v>30</v>
      </c>
      <c r="I680">
        <v>90</v>
      </c>
    </row>
    <row r="681" spans="1:9" x14ac:dyDescent="0.25">
      <c r="A681">
        <v>680</v>
      </c>
      <c r="B681" s="1">
        <v>45906</v>
      </c>
      <c r="C681" t="s">
        <v>543</v>
      </c>
      <c r="D681" t="s">
        <v>9</v>
      </c>
      <c r="E681">
        <v>31</v>
      </c>
      <c r="F681" t="s">
        <v>13</v>
      </c>
      <c r="G681">
        <v>3</v>
      </c>
      <c r="H681">
        <v>300</v>
      </c>
      <c r="I681">
        <v>900</v>
      </c>
    </row>
    <row r="682" spans="1:9" x14ac:dyDescent="0.25">
      <c r="A682">
        <v>681</v>
      </c>
      <c r="B682" s="1">
        <v>45906</v>
      </c>
      <c r="C682" t="s">
        <v>544</v>
      </c>
      <c r="D682" t="s">
        <v>12</v>
      </c>
      <c r="E682">
        <v>64</v>
      </c>
      <c r="F682" t="s">
        <v>15</v>
      </c>
      <c r="G682">
        <v>2</v>
      </c>
      <c r="H682">
        <v>30</v>
      </c>
      <c r="I682">
        <v>60</v>
      </c>
    </row>
    <row r="683" spans="1:9" x14ac:dyDescent="0.25">
      <c r="A683">
        <v>682</v>
      </c>
      <c r="B683" s="1">
        <v>45906</v>
      </c>
      <c r="C683" t="s">
        <v>297</v>
      </c>
      <c r="D683" t="s">
        <v>12</v>
      </c>
      <c r="E683">
        <v>31</v>
      </c>
      <c r="F683" t="s">
        <v>10</v>
      </c>
      <c r="G683">
        <v>4</v>
      </c>
      <c r="H683">
        <v>300</v>
      </c>
      <c r="I683">
        <v>1200</v>
      </c>
    </row>
    <row r="684" spans="1:9" x14ac:dyDescent="0.25">
      <c r="A684">
        <v>683</v>
      </c>
      <c r="B684" s="1">
        <v>45906</v>
      </c>
      <c r="C684" t="s">
        <v>298</v>
      </c>
      <c r="D684" t="s">
        <v>9</v>
      </c>
      <c r="E684">
        <v>55</v>
      </c>
      <c r="F684" t="s">
        <v>10</v>
      </c>
      <c r="G684">
        <v>2</v>
      </c>
      <c r="H684">
        <v>500</v>
      </c>
      <c r="I684">
        <v>1000</v>
      </c>
    </row>
    <row r="685" spans="1:9" x14ac:dyDescent="0.25">
      <c r="A685">
        <v>684</v>
      </c>
      <c r="B685" s="1">
        <v>45906</v>
      </c>
      <c r="C685" t="s">
        <v>301</v>
      </c>
      <c r="D685" t="s">
        <v>9</v>
      </c>
      <c r="E685">
        <v>53</v>
      </c>
      <c r="F685" t="s">
        <v>13</v>
      </c>
      <c r="G685">
        <v>2</v>
      </c>
      <c r="H685">
        <v>500</v>
      </c>
      <c r="I685">
        <v>1000</v>
      </c>
    </row>
    <row r="686" spans="1:9" x14ac:dyDescent="0.25">
      <c r="A686">
        <v>685</v>
      </c>
      <c r="B686" s="1">
        <v>45907</v>
      </c>
      <c r="C686" t="s">
        <v>305</v>
      </c>
      <c r="D686" t="s">
        <v>9</v>
      </c>
      <c r="E686">
        <v>50</v>
      </c>
      <c r="F686" t="s">
        <v>15</v>
      </c>
      <c r="G686">
        <v>2</v>
      </c>
      <c r="H686">
        <v>25</v>
      </c>
      <c r="I686">
        <v>50</v>
      </c>
    </row>
    <row r="687" spans="1:9" x14ac:dyDescent="0.25">
      <c r="A687">
        <v>686</v>
      </c>
      <c r="B687" s="1">
        <v>45907</v>
      </c>
      <c r="C687" t="s">
        <v>309</v>
      </c>
      <c r="D687" t="s">
        <v>12</v>
      </c>
      <c r="E687">
        <v>40</v>
      </c>
      <c r="F687" t="s">
        <v>15</v>
      </c>
      <c r="G687">
        <v>4</v>
      </c>
      <c r="H687">
        <v>50</v>
      </c>
      <c r="I687">
        <v>200</v>
      </c>
    </row>
    <row r="688" spans="1:9" x14ac:dyDescent="0.25">
      <c r="A688">
        <v>687</v>
      </c>
      <c r="B688" s="1">
        <v>45907</v>
      </c>
      <c r="C688" t="s">
        <v>311</v>
      </c>
      <c r="D688" t="s">
        <v>9</v>
      </c>
      <c r="E688">
        <v>61</v>
      </c>
      <c r="F688" t="s">
        <v>15</v>
      </c>
      <c r="G688">
        <v>1</v>
      </c>
      <c r="H688">
        <v>300</v>
      </c>
      <c r="I688">
        <v>300</v>
      </c>
    </row>
    <row r="689" spans="1:9" x14ac:dyDescent="0.25">
      <c r="A689">
        <v>688</v>
      </c>
      <c r="B689" s="1">
        <v>45908</v>
      </c>
      <c r="C689" t="s">
        <v>312</v>
      </c>
      <c r="D689" t="s">
        <v>12</v>
      </c>
      <c r="E689">
        <v>19</v>
      </c>
      <c r="F689" t="s">
        <v>13</v>
      </c>
      <c r="G689">
        <v>4</v>
      </c>
      <c r="H689">
        <v>25</v>
      </c>
      <c r="I689">
        <v>100</v>
      </c>
    </row>
    <row r="690" spans="1:9" x14ac:dyDescent="0.25">
      <c r="A690">
        <v>689</v>
      </c>
      <c r="B690" s="1">
        <v>45908</v>
      </c>
      <c r="C690" t="s">
        <v>315</v>
      </c>
      <c r="D690" t="s">
        <v>9</v>
      </c>
      <c r="E690">
        <v>19</v>
      </c>
      <c r="F690" t="s">
        <v>15</v>
      </c>
      <c r="G690">
        <v>2</v>
      </c>
      <c r="H690">
        <v>50</v>
      </c>
      <c r="I690">
        <v>100</v>
      </c>
    </row>
    <row r="691" spans="1:9" x14ac:dyDescent="0.25">
      <c r="A691">
        <v>690</v>
      </c>
      <c r="B691" s="1">
        <v>45908</v>
      </c>
      <c r="C691" t="s">
        <v>316</v>
      </c>
      <c r="D691" t="s">
        <v>12</v>
      </c>
      <c r="E691">
        <v>37</v>
      </c>
      <c r="F691" t="s">
        <v>13</v>
      </c>
      <c r="G691">
        <v>3</v>
      </c>
      <c r="H691">
        <v>300</v>
      </c>
      <c r="I691">
        <v>900</v>
      </c>
    </row>
    <row r="692" spans="1:9" x14ac:dyDescent="0.25">
      <c r="A692">
        <v>691</v>
      </c>
      <c r="B692" s="1">
        <v>45908</v>
      </c>
      <c r="C692" t="s">
        <v>318</v>
      </c>
      <c r="D692" t="s">
        <v>9</v>
      </c>
      <c r="E692">
        <v>54</v>
      </c>
      <c r="F692" t="s">
        <v>13</v>
      </c>
      <c r="G692">
        <v>3</v>
      </c>
      <c r="H692">
        <v>30</v>
      </c>
      <c r="I692">
        <v>90</v>
      </c>
    </row>
    <row r="693" spans="1:9" x14ac:dyDescent="0.25">
      <c r="A693">
        <v>692</v>
      </c>
      <c r="B693" s="1">
        <v>45909</v>
      </c>
      <c r="C693" t="s">
        <v>319</v>
      </c>
      <c r="D693" t="s">
        <v>12</v>
      </c>
      <c r="E693">
        <v>26</v>
      </c>
      <c r="F693" t="s">
        <v>13</v>
      </c>
      <c r="G693">
        <v>2</v>
      </c>
      <c r="H693">
        <v>50</v>
      </c>
      <c r="I693">
        <v>100</v>
      </c>
    </row>
    <row r="694" spans="1:9" x14ac:dyDescent="0.25">
      <c r="A694">
        <v>693</v>
      </c>
      <c r="B694" s="1">
        <v>45909</v>
      </c>
      <c r="C694" t="s">
        <v>329</v>
      </c>
      <c r="D694" t="s">
        <v>9</v>
      </c>
      <c r="E694">
        <v>22</v>
      </c>
      <c r="F694" t="s">
        <v>10</v>
      </c>
      <c r="G694">
        <v>3</v>
      </c>
      <c r="H694">
        <v>500</v>
      </c>
      <c r="I694">
        <v>1500</v>
      </c>
    </row>
    <row r="695" spans="1:9" x14ac:dyDescent="0.25">
      <c r="A695">
        <v>694</v>
      </c>
      <c r="B695" s="1">
        <v>45909</v>
      </c>
      <c r="C695" t="s">
        <v>332</v>
      </c>
      <c r="D695" t="s">
        <v>12</v>
      </c>
      <c r="E695">
        <v>28</v>
      </c>
      <c r="F695" t="s">
        <v>15</v>
      </c>
      <c r="G695">
        <v>2</v>
      </c>
      <c r="H695">
        <v>25</v>
      </c>
      <c r="I695">
        <v>50</v>
      </c>
    </row>
    <row r="696" spans="1:9" x14ac:dyDescent="0.25">
      <c r="A696">
        <v>695</v>
      </c>
      <c r="B696" s="1">
        <v>45910</v>
      </c>
      <c r="C696" t="s">
        <v>333</v>
      </c>
      <c r="D696" t="s">
        <v>12</v>
      </c>
      <c r="E696">
        <v>26</v>
      </c>
      <c r="F696" t="s">
        <v>15</v>
      </c>
      <c r="G696">
        <v>3</v>
      </c>
      <c r="H696">
        <v>50</v>
      </c>
      <c r="I696">
        <v>150</v>
      </c>
    </row>
    <row r="697" spans="1:9" x14ac:dyDescent="0.25">
      <c r="A697">
        <v>696</v>
      </c>
      <c r="B697" s="1">
        <v>45911</v>
      </c>
      <c r="C697" t="s">
        <v>334</v>
      </c>
      <c r="D697" t="s">
        <v>9</v>
      </c>
      <c r="E697">
        <v>51</v>
      </c>
      <c r="F697" t="s">
        <v>13</v>
      </c>
      <c r="G697">
        <v>4</v>
      </c>
      <c r="H697">
        <v>50</v>
      </c>
      <c r="I697">
        <v>200</v>
      </c>
    </row>
    <row r="698" spans="1:9" x14ac:dyDescent="0.25">
      <c r="A698">
        <v>697</v>
      </c>
      <c r="B698" s="1">
        <v>45911</v>
      </c>
      <c r="C698" t="s">
        <v>336</v>
      </c>
      <c r="D698" t="s">
        <v>12</v>
      </c>
      <c r="E698">
        <v>52</v>
      </c>
      <c r="F698" t="s">
        <v>13</v>
      </c>
      <c r="G698">
        <v>1</v>
      </c>
      <c r="H698">
        <v>500</v>
      </c>
      <c r="I698">
        <v>500</v>
      </c>
    </row>
    <row r="699" spans="1:9" x14ac:dyDescent="0.25">
      <c r="A699">
        <v>698</v>
      </c>
      <c r="B699" s="1">
        <v>45913</v>
      </c>
      <c r="C699" t="s">
        <v>337</v>
      </c>
      <c r="D699" t="s">
        <v>12</v>
      </c>
      <c r="E699">
        <v>52</v>
      </c>
      <c r="F699" t="s">
        <v>15</v>
      </c>
      <c r="G699">
        <v>1</v>
      </c>
      <c r="H699">
        <v>300</v>
      </c>
      <c r="I699">
        <v>300</v>
      </c>
    </row>
    <row r="700" spans="1:9" x14ac:dyDescent="0.25">
      <c r="A700">
        <v>699</v>
      </c>
      <c r="B700" s="1">
        <v>45914</v>
      </c>
      <c r="C700" t="s">
        <v>339</v>
      </c>
      <c r="D700" t="s">
        <v>9</v>
      </c>
      <c r="E700">
        <v>57</v>
      </c>
      <c r="F700" t="s">
        <v>13</v>
      </c>
      <c r="G700">
        <v>4</v>
      </c>
      <c r="H700">
        <v>30</v>
      </c>
      <c r="I700">
        <v>120</v>
      </c>
    </row>
    <row r="701" spans="1:9" x14ac:dyDescent="0.25">
      <c r="A701">
        <v>700</v>
      </c>
      <c r="B701" s="1">
        <v>45915</v>
      </c>
      <c r="C701" t="s">
        <v>341</v>
      </c>
      <c r="D701" t="s">
        <v>12</v>
      </c>
      <c r="E701">
        <v>46</v>
      </c>
      <c r="F701" t="s">
        <v>15</v>
      </c>
      <c r="G701">
        <v>4</v>
      </c>
      <c r="H701">
        <v>500</v>
      </c>
      <c r="I701">
        <v>2000</v>
      </c>
    </row>
    <row r="702" spans="1:9" x14ac:dyDescent="0.25">
      <c r="A702">
        <v>701</v>
      </c>
      <c r="B702" s="1">
        <v>45916</v>
      </c>
      <c r="C702" t="s">
        <v>343</v>
      </c>
      <c r="D702" t="s">
        <v>9</v>
      </c>
      <c r="E702">
        <v>28</v>
      </c>
      <c r="F702" t="s">
        <v>10</v>
      </c>
      <c r="G702">
        <v>2</v>
      </c>
      <c r="H702">
        <v>30</v>
      </c>
      <c r="I702">
        <v>60</v>
      </c>
    </row>
    <row r="703" spans="1:9" x14ac:dyDescent="0.25">
      <c r="A703">
        <v>702</v>
      </c>
      <c r="B703" s="1">
        <v>45916</v>
      </c>
      <c r="C703" t="s">
        <v>344</v>
      </c>
      <c r="D703" t="s">
        <v>9</v>
      </c>
      <c r="E703">
        <v>58</v>
      </c>
      <c r="F703" t="s">
        <v>13</v>
      </c>
      <c r="G703">
        <v>2</v>
      </c>
      <c r="H703">
        <v>300</v>
      </c>
      <c r="I703">
        <v>600</v>
      </c>
    </row>
    <row r="704" spans="1:9" x14ac:dyDescent="0.25">
      <c r="A704">
        <v>703</v>
      </c>
      <c r="B704" s="1">
        <v>45916</v>
      </c>
      <c r="C704" t="s">
        <v>345</v>
      </c>
      <c r="D704" t="s">
        <v>12</v>
      </c>
      <c r="E704">
        <v>54</v>
      </c>
      <c r="F704" t="s">
        <v>15</v>
      </c>
      <c r="G704">
        <v>2</v>
      </c>
      <c r="H704">
        <v>50</v>
      </c>
      <c r="I704">
        <v>100</v>
      </c>
    </row>
    <row r="705" spans="1:9" x14ac:dyDescent="0.25">
      <c r="A705">
        <v>704</v>
      </c>
      <c r="B705" s="1">
        <v>45917</v>
      </c>
      <c r="C705" t="s">
        <v>346</v>
      </c>
      <c r="D705" t="s">
        <v>9</v>
      </c>
      <c r="E705">
        <v>31</v>
      </c>
      <c r="F705" t="s">
        <v>13</v>
      </c>
      <c r="G705">
        <v>3</v>
      </c>
      <c r="H705">
        <v>30</v>
      </c>
      <c r="I705">
        <v>90</v>
      </c>
    </row>
    <row r="706" spans="1:9" x14ac:dyDescent="0.25">
      <c r="A706">
        <v>705</v>
      </c>
      <c r="B706" s="1">
        <v>45917</v>
      </c>
      <c r="C706" t="s">
        <v>351</v>
      </c>
      <c r="D706" t="s">
        <v>12</v>
      </c>
      <c r="E706">
        <v>22</v>
      </c>
      <c r="F706" t="s">
        <v>15</v>
      </c>
      <c r="G706">
        <v>2</v>
      </c>
      <c r="H706">
        <v>25</v>
      </c>
      <c r="I706">
        <v>50</v>
      </c>
    </row>
    <row r="707" spans="1:9" x14ac:dyDescent="0.25">
      <c r="A707">
        <v>706</v>
      </c>
      <c r="B707" s="1">
        <v>45917</v>
      </c>
      <c r="C707" t="s">
        <v>355</v>
      </c>
      <c r="D707" t="s">
        <v>9</v>
      </c>
      <c r="E707">
        <v>21</v>
      </c>
      <c r="F707" t="s">
        <v>15</v>
      </c>
      <c r="G707">
        <v>4</v>
      </c>
      <c r="H707">
        <v>25</v>
      </c>
      <c r="I707">
        <v>100</v>
      </c>
    </row>
    <row r="708" spans="1:9" x14ac:dyDescent="0.25">
      <c r="A708">
        <v>707</v>
      </c>
      <c r="B708" s="1">
        <v>45917</v>
      </c>
      <c r="C708" t="s">
        <v>357</v>
      </c>
      <c r="D708" t="s">
        <v>9</v>
      </c>
      <c r="E708">
        <v>62</v>
      </c>
      <c r="F708" t="s">
        <v>13</v>
      </c>
      <c r="G708">
        <v>1</v>
      </c>
      <c r="H708">
        <v>500</v>
      </c>
      <c r="I708">
        <v>500</v>
      </c>
    </row>
    <row r="709" spans="1:9" x14ac:dyDescent="0.25">
      <c r="A709">
        <v>708</v>
      </c>
      <c r="B709" s="1">
        <v>45917</v>
      </c>
      <c r="C709" t="s">
        <v>359</v>
      </c>
      <c r="D709" t="s">
        <v>9</v>
      </c>
      <c r="E709">
        <v>42</v>
      </c>
      <c r="F709" t="s">
        <v>10</v>
      </c>
      <c r="G709">
        <v>3</v>
      </c>
      <c r="H709">
        <v>300</v>
      </c>
      <c r="I709">
        <v>900</v>
      </c>
    </row>
    <row r="710" spans="1:9" x14ac:dyDescent="0.25">
      <c r="A710">
        <v>709</v>
      </c>
      <c r="B710" s="1">
        <v>45918</v>
      </c>
      <c r="C710" t="s">
        <v>360</v>
      </c>
      <c r="D710" t="s">
        <v>12</v>
      </c>
      <c r="E710">
        <v>35</v>
      </c>
      <c r="F710" t="s">
        <v>15</v>
      </c>
      <c r="G710">
        <v>2</v>
      </c>
      <c r="H710">
        <v>500</v>
      </c>
      <c r="I710">
        <v>1000</v>
      </c>
    </row>
    <row r="711" spans="1:9" x14ac:dyDescent="0.25">
      <c r="A711">
        <v>710</v>
      </c>
      <c r="B711" s="1">
        <v>45918</v>
      </c>
      <c r="C711" t="s">
        <v>364</v>
      </c>
      <c r="D711" t="s">
        <v>9</v>
      </c>
      <c r="E711">
        <v>57</v>
      </c>
      <c r="F711" t="s">
        <v>15</v>
      </c>
      <c r="G711">
        <v>3</v>
      </c>
      <c r="H711">
        <v>500</v>
      </c>
      <c r="I711">
        <v>1500</v>
      </c>
    </row>
    <row r="712" spans="1:9" x14ac:dyDescent="0.25">
      <c r="A712">
        <v>711</v>
      </c>
      <c r="B712" s="1">
        <v>45918</v>
      </c>
      <c r="C712" t="s">
        <v>365</v>
      </c>
      <c r="D712" t="s">
        <v>9</v>
      </c>
      <c r="E712">
        <v>31</v>
      </c>
      <c r="F712" t="s">
        <v>15</v>
      </c>
      <c r="G712">
        <v>3</v>
      </c>
      <c r="H712">
        <v>500</v>
      </c>
      <c r="I712">
        <v>1500</v>
      </c>
    </row>
    <row r="713" spans="1:9" x14ac:dyDescent="0.25">
      <c r="A713">
        <v>712</v>
      </c>
      <c r="B713" s="1">
        <v>45919</v>
      </c>
      <c r="C713" t="s">
        <v>367</v>
      </c>
      <c r="D713" t="s">
        <v>12</v>
      </c>
      <c r="E713">
        <v>55</v>
      </c>
      <c r="F713" t="s">
        <v>10</v>
      </c>
      <c r="G713">
        <v>2</v>
      </c>
      <c r="H713">
        <v>25</v>
      </c>
      <c r="I713">
        <v>50</v>
      </c>
    </row>
    <row r="714" spans="1:9" x14ac:dyDescent="0.25">
      <c r="A714">
        <v>713</v>
      </c>
      <c r="B714" s="1">
        <v>45919</v>
      </c>
      <c r="C714" t="s">
        <v>368</v>
      </c>
      <c r="D714" t="s">
        <v>9</v>
      </c>
      <c r="E714">
        <v>50</v>
      </c>
      <c r="F714" t="s">
        <v>10</v>
      </c>
      <c r="G714">
        <v>3</v>
      </c>
      <c r="H714">
        <v>25</v>
      </c>
      <c r="I714">
        <v>75</v>
      </c>
    </row>
    <row r="715" spans="1:9" x14ac:dyDescent="0.25">
      <c r="A715">
        <v>714</v>
      </c>
      <c r="B715" s="1">
        <v>45921</v>
      </c>
      <c r="C715" t="s">
        <v>369</v>
      </c>
      <c r="D715" t="s">
        <v>12</v>
      </c>
      <c r="E715">
        <v>40</v>
      </c>
      <c r="F715" t="s">
        <v>13</v>
      </c>
      <c r="G715">
        <v>1</v>
      </c>
      <c r="H715">
        <v>500</v>
      </c>
      <c r="I715">
        <v>500</v>
      </c>
    </row>
    <row r="716" spans="1:9" x14ac:dyDescent="0.25">
      <c r="A716">
        <v>715</v>
      </c>
      <c r="B716" s="1">
        <v>45921</v>
      </c>
      <c r="C716" t="s">
        <v>373</v>
      </c>
      <c r="D716" t="s">
        <v>12</v>
      </c>
      <c r="E716">
        <v>34</v>
      </c>
      <c r="F716" t="s">
        <v>10</v>
      </c>
      <c r="G716">
        <v>4</v>
      </c>
      <c r="H716">
        <v>25</v>
      </c>
      <c r="I716">
        <v>100</v>
      </c>
    </row>
    <row r="717" spans="1:9" x14ac:dyDescent="0.25">
      <c r="A717">
        <v>716</v>
      </c>
      <c r="B717" s="1">
        <v>45922</v>
      </c>
      <c r="C717" t="s">
        <v>379</v>
      </c>
      <c r="D717" t="s">
        <v>12</v>
      </c>
      <c r="E717">
        <v>57</v>
      </c>
      <c r="F717" t="s">
        <v>13</v>
      </c>
      <c r="G717">
        <v>4</v>
      </c>
      <c r="H717">
        <v>300</v>
      </c>
      <c r="I717">
        <v>1200</v>
      </c>
    </row>
    <row r="718" spans="1:9" x14ac:dyDescent="0.25">
      <c r="A718">
        <v>717</v>
      </c>
      <c r="B718" s="1">
        <v>45922</v>
      </c>
      <c r="C718" t="s">
        <v>381</v>
      </c>
      <c r="D718" t="s">
        <v>9</v>
      </c>
      <c r="E718">
        <v>23</v>
      </c>
      <c r="F718" t="s">
        <v>13</v>
      </c>
      <c r="G718">
        <v>1</v>
      </c>
      <c r="H718">
        <v>500</v>
      </c>
      <c r="I718">
        <v>500</v>
      </c>
    </row>
    <row r="719" spans="1:9" x14ac:dyDescent="0.25">
      <c r="A719">
        <v>718</v>
      </c>
      <c r="B719" s="1">
        <v>45923</v>
      </c>
      <c r="C719" t="s">
        <v>382</v>
      </c>
      <c r="D719" t="s">
        <v>9</v>
      </c>
      <c r="E719">
        <v>23</v>
      </c>
      <c r="F719" t="s">
        <v>10</v>
      </c>
      <c r="G719">
        <v>3</v>
      </c>
      <c r="H719">
        <v>25</v>
      </c>
      <c r="I719">
        <v>75</v>
      </c>
    </row>
    <row r="720" spans="1:9" x14ac:dyDescent="0.25">
      <c r="A720">
        <v>719</v>
      </c>
      <c r="B720" s="1">
        <v>45924</v>
      </c>
      <c r="C720" t="s">
        <v>392</v>
      </c>
      <c r="D720" t="s">
        <v>9</v>
      </c>
      <c r="E720">
        <v>56</v>
      </c>
      <c r="F720" t="s">
        <v>13</v>
      </c>
      <c r="G720">
        <v>2</v>
      </c>
      <c r="H720">
        <v>30</v>
      </c>
      <c r="I720">
        <v>60</v>
      </c>
    </row>
    <row r="721" spans="1:9" x14ac:dyDescent="0.25">
      <c r="A721">
        <v>720</v>
      </c>
      <c r="B721" s="1">
        <v>45924</v>
      </c>
      <c r="C721" t="s">
        <v>397</v>
      </c>
      <c r="D721" t="s">
        <v>9</v>
      </c>
      <c r="E721">
        <v>50</v>
      </c>
      <c r="F721" t="s">
        <v>10</v>
      </c>
      <c r="G721">
        <v>3</v>
      </c>
      <c r="H721">
        <v>500</v>
      </c>
      <c r="I721">
        <v>1500</v>
      </c>
    </row>
    <row r="722" spans="1:9" x14ac:dyDescent="0.25">
      <c r="A722">
        <v>721</v>
      </c>
      <c r="B722" s="1">
        <v>45925</v>
      </c>
      <c r="C722" t="s">
        <v>398</v>
      </c>
      <c r="D722" t="s">
        <v>12</v>
      </c>
      <c r="E722">
        <v>54</v>
      </c>
      <c r="F722" t="s">
        <v>13</v>
      </c>
      <c r="G722">
        <v>1</v>
      </c>
      <c r="H722">
        <v>500</v>
      </c>
      <c r="I722">
        <v>500</v>
      </c>
    </row>
    <row r="723" spans="1:9" x14ac:dyDescent="0.25">
      <c r="A723">
        <v>722</v>
      </c>
      <c r="B723" s="1">
        <v>45925</v>
      </c>
      <c r="C723" t="s">
        <v>400</v>
      </c>
      <c r="D723" t="s">
        <v>9</v>
      </c>
      <c r="E723">
        <v>50</v>
      </c>
      <c r="F723" t="s">
        <v>10</v>
      </c>
      <c r="G723">
        <v>3</v>
      </c>
      <c r="H723">
        <v>300</v>
      </c>
      <c r="I723">
        <v>900</v>
      </c>
    </row>
    <row r="724" spans="1:9" x14ac:dyDescent="0.25">
      <c r="A724">
        <v>723</v>
      </c>
      <c r="B724" s="1">
        <v>45925</v>
      </c>
      <c r="C724" t="s">
        <v>402</v>
      </c>
      <c r="D724" t="s">
        <v>9</v>
      </c>
      <c r="E724">
        <v>39</v>
      </c>
      <c r="F724" t="s">
        <v>10</v>
      </c>
      <c r="G724">
        <v>4</v>
      </c>
      <c r="H724">
        <v>50</v>
      </c>
      <c r="I724">
        <v>200</v>
      </c>
    </row>
    <row r="725" spans="1:9" x14ac:dyDescent="0.25">
      <c r="A725">
        <v>724</v>
      </c>
      <c r="B725" s="1">
        <v>45926</v>
      </c>
      <c r="C725" t="s">
        <v>407</v>
      </c>
      <c r="D725" t="s">
        <v>9</v>
      </c>
      <c r="E725">
        <v>50</v>
      </c>
      <c r="F725" t="s">
        <v>13</v>
      </c>
      <c r="G725">
        <v>3</v>
      </c>
      <c r="H725">
        <v>50</v>
      </c>
      <c r="I725">
        <v>150</v>
      </c>
    </row>
    <row r="726" spans="1:9" x14ac:dyDescent="0.25">
      <c r="A726">
        <v>725</v>
      </c>
      <c r="B726" s="1">
        <v>45928</v>
      </c>
      <c r="C726" t="s">
        <v>416</v>
      </c>
      <c r="D726" t="s">
        <v>9</v>
      </c>
      <c r="E726">
        <v>46</v>
      </c>
      <c r="F726" t="s">
        <v>15</v>
      </c>
      <c r="G726">
        <v>1</v>
      </c>
      <c r="H726">
        <v>300</v>
      </c>
      <c r="I726">
        <v>300</v>
      </c>
    </row>
    <row r="727" spans="1:9" x14ac:dyDescent="0.25">
      <c r="A727">
        <v>726</v>
      </c>
      <c r="B727" s="1">
        <v>45928</v>
      </c>
      <c r="C727" t="s">
        <v>419</v>
      </c>
      <c r="D727" t="s">
        <v>12</v>
      </c>
      <c r="E727">
        <v>46</v>
      </c>
      <c r="F727" t="s">
        <v>13</v>
      </c>
      <c r="G727">
        <v>4</v>
      </c>
      <c r="H727">
        <v>300</v>
      </c>
      <c r="I727">
        <v>1200</v>
      </c>
    </row>
    <row r="728" spans="1:9" x14ac:dyDescent="0.25">
      <c r="A728">
        <v>727</v>
      </c>
      <c r="B728" s="1">
        <v>45928</v>
      </c>
      <c r="C728" t="s">
        <v>421</v>
      </c>
      <c r="D728" t="s">
        <v>12</v>
      </c>
      <c r="E728">
        <v>21</v>
      </c>
      <c r="F728" t="s">
        <v>10</v>
      </c>
      <c r="G728">
        <v>3</v>
      </c>
      <c r="H728">
        <v>300</v>
      </c>
      <c r="I728">
        <v>900</v>
      </c>
    </row>
    <row r="729" spans="1:9" x14ac:dyDescent="0.25">
      <c r="A729">
        <v>728</v>
      </c>
      <c r="B729" s="1">
        <v>45929</v>
      </c>
      <c r="C729" t="s">
        <v>423</v>
      </c>
      <c r="D729" t="s">
        <v>9</v>
      </c>
      <c r="E729">
        <v>62</v>
      </c>
      <c r="F729" t="s">
        <v>15</v>
      </c>
      <c r="G729">
        <v>3</v>
      </c>
      <c r="H729">
        <v>50</v>
      </c>
      <c r="I729">
        <v>150</v>
      </c>
    </row>
    <row r="730" spans="1:9" x14ac:dyDescent="0.25">
      <c r="A730">
        <v>729</v>
      </c>
      <c r="B730" s="1">
        <v>45929</v>
      </c>
      <c r="C730" t="s">
        <v>424</v>
      </c>
      <c r="D730" t="s">
        <v>12</v>
      </c>
      <c r="E730">
        <v>19</v>
      </c>
      <c r="F730" t="s">
        <v>13</v>
      </c>
      <c r="G730">
        <v>4</v>
      </c>
      <c r="H730">
        <v>300</v>
      </c>
      <c r="I730">
        <v>1200</v>
      </c>
    </row>
    <row r="731" spans="1:9" x14ac:dyDescent="0.25">
      <c r="A731">
        <v>730</v>
      </c>
      <c r="B731" s="1">
        <v>45929</v>
      </c>
      <c r="C731" t="s">
        <v>428</v>
      </c>
      <c r="D731" t="s">
        <v>9</v>
      </c>
      <c r="E731">
        <v>53</v>
      </c>
      <c r="F731" t="s">
        <v>13</v>
      </c>
      <c r="G731">
        <v>2</v>
      </c>
      <c r="H731">
        <v>25</v>
      </c>
      <c r="I731">
        <v>50</v>
      </c>
    </row>
    <row r="732" spans="1:9" x14ac:dyDescent="0.25">
      <c r="A732">
        <v>731</v>
      </c>
      <c r="B732" s="1">
        <v>45929</v>
      </c>
      <c r="C732" t="s">
        <v>545</v>
      </c>
      <c r="D732" t="s">
        <v>9</v>
      </c>
      <c r="E732">
        <v>19</v>
      </c>
      <c r="F732" t="s">
        <v>13</v>
      </c>
      <c r="G732">
        <v>4</v>
      </c>
      <c r="H732">
        <v>500</v>
      </c>
      <c r="I732">
        <v>2000</v>
      </c>
    </row>
    <row r="733" spans="1:9" x14ac:dyDescent="0.25">
      <c r="A733">
        <v>732</v>
      </c>
      <c r="B733" s="1">
        <v>45930</v>
      </c>
      <c r="C733" t="s">
        <v>546</v>
      </c>
      <c r="D733" t="s">
        <v>9</v>
      </c>
      <c r="E733">
        <v>45</v>
      </c>
      <c r="F733" t="s">
        <v>15</v>
      </c>
      <c r="G733">
        <v>2</v>
      </c>
      <c r="H733">
        <v>500</v>
      </c>
      <c r="I733">
        <v>1000</v>
      </c>
    </row>
    <row r="734" spans="1:9" x14ac:dyDescent="0.25">
      <c r="A734">
        <v>733</v>
      </c>
      <c r="B734" s="1">
        <v>45930</v>
      </c>
      <c r="C734" t="s">
        <v>547</v>
      </c>
      <c r="D734" t="s">
        <v>9</v>
      </c>
      <c r="E734">
        <v>47</v>
      </c>
      <c r="F734" t="s">
        <v>10</v>
      </c>
      <c r="G734">
        <v>1</v>
      </c>
      <c r="H734">
        <v>30</v>
      </c>
      <c r="I734">
        <v>30</v>
      </c>
    </row>
    <row r="735" spans="1:9" x14ac:dyDescent="0.25">
      <c r="A735">
        <v>734</v>
      </c>
      <c r="B735" s="1">
        <v>45931</v>
      </c>
      <c r="C735" t="s">
        <v>548</v>
      </c>
      <c r="D735" t="s">
        <v>12</v>
      </c>
      <c r="E735">
        <v>55</v>
      </c>
      <c r="F735" t="s">
        <v>13</v>
      </c>
      <c r="G735">
        <v>1</v>
      </c>
      <c r="H735">
        <v>30</v>
      </c>
      <c r="I735">
        <v>30</v>
      </c>
    </row>
    <row r="736" spans="1:9" x14ac:dyDescent="0.25">
      <c r="A736">
        <v>735</v>
      </c>
      <c r="B736" s="1">
        <v>45931</v>
      </c>
      <c r="C736" t="s">
        <v>549</v>
      </c>
      <c r="D736" t="s">
        <v>12</v>
      </c>
      <c r="E736">
        <v>21</v>
      </c>
      <c r="F736" t="s">
        <v>13</v>
      </c>
      <c r="G736">
        <v>4</v>
      </c>
      <c r="H736">
        <v>500</v>
      </c>
      <c r="I736">
        <v>2000</v>
      </c>
    </row>
    <row r="737" spans="1:9" x14ac:dyDescent="0.25">
      <c r="A737">
        <v>736</v>
      </c>
      <c r="B737" s="1">
        <v>45931</v>
      </c>
      <c r="C737" t="s">
        <v>550</v>
      </c>
      <c r="D737" t="s">
        <v>9</v>
      </c>
      <c r="E737">
        <v>18</v>
      </c>
      <c r="F737" t="s">
        <v>13</v>
      </c>
      <c r="G737">
        <v>4</v>
      </c>
      <c r="H737">
        <v>25</v>
      </c>
      <c r="I737">
        <v>100</v>
      </c>
    </row>
    <row r="738" spans="1:9" x14ac:dyDescent="0.25">
      <c r="A738">
        <v>737</v>
      </c>
      <c r="B738" s="1">
        <v>45932</v>
      </c>
      <c r="C738" t="s">
        <v>551</v>
      </c>
      <c r="D738" t="s">
        <v>9</v>
      </c>
      <c r="E738">
        <v>25</v>
      </c>
      <c r="F738" t="s">
        <v>13</v>
      </c>
      <c r="G738">
        <v>1</v>
      </c>
      <c r="H738">
        <v>50</v>
      </c>
      <c r="I738">
        <v>50</v>
      </c>
    </row>
    <row r="739" spans="1:9" x14ac:dyDescent="0.25">
      <c r="A739">
        <v>738</v>
      </c>
      <c r="B739" s="1">
        <v>45932</v>
      </c>
      <c r="C739" t="s">
        <v>552</v>
      </c>
      <c r="D739" t="s">
        <v>12</v>
      </c>
      <c r="E739">
        <v>46</v>
      </c>
      <c r="F739" t="s">
        <v>13</v>
      </c>
      <c r="G739">
        <v>2</v>
      </c>
      <c r="H739">
        <v>50</v>
      </c>
      <c r="I739">
        <v>100</v>
      </c>
    </row>
    <row r="740" spans="1:9" x14ac:dyDescent="0.25">
      <c r="A740">
        <v>739</v>
      </c>
      <c r="B740" s="1">
        <v>45932</v>
      </c>
      <c r="C740" t="s">
        <v>553</v>
      </c>
      <c r="D740" t="s">
        <v>9</v>
      </c>
      <c r="E740">
        <v>56</v>
      </c>
      <c r="F740" t="s">
        <v>10</v>
      </c>
      <c r="G740">
        <v>1</v>
      </c>
      <c r="H740">
        <v>25</v>
      </c>
      <c r="I740">
        <v>25</v>
      </c>
    </row>
    <row r="741" spans="1:9" x14ac:dyDescent="0.25">
      <c r="A741">
        <v>740</v>
      </c>
      <c r="B741" s="1">
        <v>45932</v>
      </c>
      <c r="C741" t="s">
        <v>554</v>
      </c>
      <c r="D741" t="s">
        <v>12</v>
      </c>
      <c r="E741">
        <v>20</v>
      </c>
      <c r="F741" t="s">
        <v>10</v>
      </c>
      <c r="G741">
        <v>4</v>
      </c>
      <c r="H741">
        <v>50</v>
      </c>
      <c r="I741">
        <v>200</v>
      </c>
    </row>
    <row r="742" spans="1:9" x14ac:dyDescent="0.25">
      <c r="A742">
        <v>741</v>
      </c>
      <c r="B742" s="1">
        <v>45932</v>
      </c>
      <c r="C742" t="s">
        <v>555</v>
      </c>
      <c r="D742" t="s">
        <v>9</v>
      </c>
      <c r="E742">
        <v>49</v>
      </c>
      <c r="F742" t="s">
        <v>13</v>
      </c>
      <c r="G742">
        <v>1</v>
      </c>
      <c r="H742">
        <v>300</v>
      </c>
      <c r="I742">
        <v>300</v>
      </c>
    </row>
    <row r="743" spans="1:9" x14ac:dyDescent="0.25">
      <c r="A743">
        <v>742</v>
      </c>
      <c r="B743" s="1">
        <v>45933</v>
      </c>
      <c r="C743" t="s">
        <v>556</v>
      </c>
      <c r="D743" t="s">
        <v>12</v>
      </c>
      <c r="E743">
        <v>27</v>
      </c>
      <c r="F743" t="s">
        <v>15</v>
      </c>
      <c r="G743">
        <v>4</v>
      </c>
      <c r="H743">
        <v>500</v>
      </c>
      <c r="I743">
        <v>2000</v>
      </c>
    </row>
    <row r="744" spans="1:9" x14ac:dyDescent="0.25">
      <c r="A744">
        <v>743</v>
      </c>
      <c r="B744" s="1">
        <v>45933</v>
      </c>
      <c r="C744" t="s">
        <v>557</v>
      </c>
      <c r="D744" t="s">
        <v>9</v>
      </c>
      <c r="E744">
        <v>27</v>
      </c>
      <c r="F744" t="s">
        <v>10</v>
      </c>
      <c r="G744">
        <v>4</v>
      </c>
      <c r="H744">
        <v>500</v>
      </c>
      <c r="I744">
        <v>2000</v>
      </c>
    </row>
    <row r="745" spans="1:9" x14ac:dyDescent="0.25">
      <c r="A745">
        <v>744</v>
      </c>
      <c r="B745" s="1">
        <v>45933</v>
      </c>
      <c r="C745" t="s">
        <v>558</v>
      </c>
      <c r="D745" t="s">
        <v>12</v>
      </c>
      <c r="E745">
        <v>36</v>
      </c>
      <c r="F745" t="s">
        <v>15</v>
      </c>
      <c r="G745">
        <v>1</v>
      </c>
      <c r="H745">
        <v>25</v>
      </c>
      <c r="I745">
        <v>25</v>
      </c>
    </row>
    <row r="746" spans="1:9" x14ac:dyDescent="0.25">
      <c r="A746">
        <v>745</v>
      </c>
      <c r="B746" s="1">
        <v>45933</v>
      </c>
      <c r="C746" t="s">
        <v>559</v>
      </c>
      <c r="D746" t="s">
        <v>9</v>
      </c>
      <c r="E746">
        <v>63</v>
      </c>
      <c r="F746" t="s">
        <v>10</v>
      </c>
      <c r="G746">
        <v>2</v>
      </c>
      <c r="H746">
        <v>50</v>
      </c>
      <c r="I746">
        <v>100</v>
      </c>
    </row>
    <row r="747" spans="1:9" x14ac:dyDescent="0.25">
      <c r="A747">
        <v>746</v>
      </c>
      <c r="B747" s="1">
        <v>45933</v>
      </c>
      <c r="C747" t="s">
        <v>560</v>
      </c>
      <c r="D747" t="s">
        <v>12</v>
      </c>
      <c r="E747">
        <v>51</v>
      </c>
      <c r="F747" t="s">
        <v>13</v>
      </c>
      <c r="G747">
        <v>3</v>
      </c>
      <c r="H747">
        <v>30</v>
      </c>
      <c r="I747">
        <v>90</v>
      </c>
    </row>
    <row r="748" spans="1:9" x14ac:dyDescent="0.25">
      <c r="A748">
        <v>747</v>
      </c>
      <c r="B748" s="1">
        <v>45934</v>
      </c>
      <c r="C748" t="s">
        <v>561</v>
      </c>
      <c r="D748" t="s">
        <v>12</v>
      </c>
      <c r="E748">
        <v>50</v>
      </c>
      <c r="F748" t="s">
        <v>10</v>
      </c>
      <c r="G748">
        <v>1</v>
      </c>
      <c r="H748">
        <v>30</v>
      </c>
      <c r="I748">
        <v>30</v>
      </c>
    </row>
    <row r="749" spans="1:9" x14ac:dyDescent="0.25">
      <c r="A749">
        <v>748</v>
      </c>
      <c r="B749" s="1">
        <v>45934</v>
      </c>
      <c r="C749" t="s">
        <v>562</v>
      </c>
      <c r="D749" t="s">
        <v>9</v>
      </c>
      <c r="E749">
        <v>40</v>
      </c>
      <c r="F749" t="s">
        <v>13</v>
      </c>
      <c r="G749">
        <v>3</v>
      </c>
      <c r="H749">
        <v>50</v>
      </c>
      <c r="I749">
        <v>150</v>
      </c>
    </row>
    <row r="750" spans="1:9" x14ac:dyDescent="0.25">
      <c r="A750">
        <v>749</v>
      </c>
      <c r="B750" s="1">
        <v>45934</v>
      </c>
      <c r="C750" t="s">
        <v>563</v>
      </c>
      <c r="D750" t="s">
        <v>9</v>
      </c>
      <c r="E750">
        <v>45</v>
      </c>
      <c r="F750" t="s">
        <v>10</v>
      </c>
      <c r="G750">
        <v>1</v>
      </c>
      <c r="H750">
        <v>30</v>
      </c>
      <c r="I750">
        <v>30</v>
      </c>
    </row>
    <row r="751" spans="1:9" x14ac:dyDescent="0.25">
      <c r="A751">
        <v>750</v>
      </c>
      <c r="B751" s="1">
        <v>45934</v>
      </c>
      <c r="C751" t="s">
        <v>564</v>
      </c>
      <c r="D751" t="s">
        <v>12</v>
      </c>
      <c r="E751">
        <v>49</v>
      </c>
      <c r="F751" t="s">
        <v>13</v>
      </c>
      <c r="G751">
        <v>3</v>
      </c>
      <c r="H751">
        <v>25</v>
      </c>
      <c r="I751">
        <v>75</v>
      </c>
    </row>
    <row r="752" spans="1:9" x14ac:dyDescent="0.25">
      <c r="A752">
        <v>751</v>
      </c>
      <c r="B752" s="1">
        <v>45934</v>
      </c>
      <c r="C752" t="s">
        <v>565</v>
      </c>
      <c r="D752" t="s">
        <v>9</v>
      </c>
      <c r="E752">
        <v>24</v>
      </c>
      <c r="F752" t="s">
        <v>13</v>
      </c>
      <c r="G752">
        <v>2</v>
      </c>
      <c r="H752">
        <v>25</v>
      </c>
      <c r="I752">
        <v>50</v>
      </c>
    </row>
    <row r="753" spans="1:9" x14ac:dyDescent="0.25">
      <c r="A753">
        <v>752</v>
      </c>
      <c r="B753" s="1">
        <v>45934</v>
      </c>
      <c r="C753" t="s">
        <v>566</v>
      </c>
      <c r="D753" t="s">
        <v>12</v>
      </c>
      <c r="E753">
        <v>46</v>
      </c>
      <c r="F753" t="s">
        <v>13</v>
      </c>
      <c r="G753">
        <v>2</v>
      </c>
      <c r="H753">
        <v>50</v>
      </c>
      <c r="I753">
        <v>100</v>
      </c>
    </row>
    <row r="754" spans="1:9" x14ac:dyDescent="0.25">
      <c r="A754">
        <v>753</v>
      </c>
      <c r="B754" s="1">
        <v>45935</v>
      </c>
      <c r="C754" t="s">
        <v>567</v>
      </c>
      <c r="D754" t="s">
        <v>9</v>
      </c>
      <c r="E754">
        <v>25</v>
      </c>
      <c r="F754" t="s">
        <v>13</v>
      </c>
      <c r="G754">
        <v>1</v>
      </c>
      <c r="H754">
        <v>30</v>
      </c>
      <c r="I754">
        <v>30</v>
      </c>
    </row>
    <row r="755" spans="1:9" x14ac:dyDescent="0.25">
      <c r="A755">
        <v>754</v>
      </c>
      <c r="B755" s="1">
        <v>45935</v>
      </c>
      <c r="C755" t="s">
        <v>568</v>
      </c>
      <c r="D755" t="s">
        <v>12</v>
      </c>
      <c r="E755">
        <v>18</v>
      </c>
      <c r="F755" t="s">
        <v>15</v>
      </c>
      <c r="G755">
        <v>4</v>
      </c>
      <c r="H755">
        <v>25</v>
      </c>
      <c r="I755">
        <v>100</v>
      </c>
    </row>
    <row r="756" spans="1:9" x14ac:dyDescent="0.25">
      <c r="A756">
        <v>755</v>
      </c>
      <c r="B756" s="1">
        <v>45936</v>
      </c>
      <c r="C756" t="s">
        <v>569</v>
      </c>
      <c r="D756" t="s">
        <v>12</v>
      </c>
      <c r="E756">
        <v>20</v>
      </c>
      <c r="F756" t="s">
        <v>13</v>
      </c>
      <c r="G756">
        <v>3</v>
      </c>
      <c r="H756">
        <v>25</v>
      </c>
      <c r="I756">
        <v>75</v>
      </c>
    </row>
    <row r="757" spans="1:9" x14ac:dyDescent="0.25">
      <c r="A757">
        <v>756</v>
      </c>
      <c r="B757" s="1">
        <v>45937</v>
      </c>
      <c r="C757" t="s">
        <v>570</v>
      </c>
      <c r="D757" t="s">
        <v>12</v>
      </c>
      <c r="E757">
        <v>41</v>
      </c>
      <c r="F757" t="s">
        <v>15</v>
      </c>
      <c r="G757">
        <v>4</v>
      </c>
      <c r="H757">
        <v>300</v>
      </c>
      <c r="I757">
        <v>1200</v>
      </c>
    </row>
    <row r="758" spans="1:9" x14ac:dyDescent="0.25">
      <c r="A758">
        <v>757</v>
      </c>
      <c r="B758" s="1">
        <v>45937</v>
      </c>
      <c r="C758" t="s">
        <v>571</v>
      </c>
      <c r="D758" t="s">
        <v>12</v>
      </c>
      <c r="E758">
        <v>40</v>
      </c>
      <c r="F758" t="s">
        <v>15</v>
      </c>
      <c r="G758">
        <v>4</v>
      </c>
      <c r="H758">
        <v>300</v>
      </c>
      <c r="I758">
        <v>1200</v>
      </c>
    </row>
    <row r="759" spans="1:9" x14ac:dyDescent="0.25">
      <c r="A759">
        <v>758</v>
      </c>
      <c r="B759" s="1">
        <v>45937</v>
      </c>
      <c r="C759" t="s">
        <v>572</v>
      </c>
      <c r="D759" t="s">
        <v>12</v>
      </c>
      <c r="E759">
        <v>25</v>
      </c>
      <c r="F759" t="s">
        <v>13</v>
      </c>
      <c r="G759">
        <v>4</v>
      </c>
      <c r="H759">
        <v>25</v>
      </c>
      <c r="I759">
        <v>100</v>
      </c>
    </row>
    <row r="760" spans="1:9" x14ac:dyDescent="0.25">
      <c r="A760">
        <v>759</v>
      </c>
      <c r="B760" s="1">
        <v>45937</v>
      </c>
      <c r="C760" t="s">
        <v>573</v>
      </c>
      <c r="D760" t="s">
        <v>12</v>
      </c>
      <c r="E760">
        <v>64</v>
      </c>
      <c r="F760" t="s">
        <v>15</v>
      </c>
      <c r="G760">
        <v>2</v>
      </c>
      <c r="H760">
        <v>50</v>
      </c>
      <c r="I760">
        <v>100</v>
      </c>
    </row>
    <row r="761" spans="1:9" x14ac:dyDescent="0.25">
      <c r="A761">
        <v>760</v>
      </c>
      <c r="B761" s="1">
        <v>45938</v>
      </c>
      <c r="C761" t="s">
        <v>574</v>
      </c>
      <c r="D761" t="s">
        <v>9</v>
      </c>
      <c r="E761">
        <v>54</v>
      </c>
      <c r="F761" t="s">
        <v>10</v>
      </c>
      <c r="G761">
        <v>1</v>
      </c>
      <c r="H761">
        <v>500</v>
      </c>
      <c r="I761">
        <v>500</v>
      </c>
    </row>
    <row r="762" spans="1:9" x14ac:dyDescent="0.25">
      <c r="A762">
        <v>761</v>
      </c>
      <c r="B762" s="1">
        <v>45938</v>
      </c>
      <c r="C762" t="s">
        <v>575</v>
      </c>
      <c r="D762" t="s">
        <v>9</v>
      </c>
      <c r="E762">
        <v>20</v>
      </c>
      <c r="F762" t="s">
        <v>13</v>
      </c>
      <c r="G762">
        <v>1</v>
      </c>
      <c r="H762">
        <v>500</v>
      </c>
      <c r="I762">
        <v>500</v>
      </c>
    </row>
    <row r="763" spans="1:9" x14ac:dyDescent="0.25">
      <c r="A763">
        <v>762</v>
      </c>
      <c r="B763" s="1">
        <v>45939</v>
      </c>
      <c r="C763" t="s">
        <v>576</v>
      </c>
      <c r="D763" t="s">
        <v>9</v>
      </c>
      <c r="E763">
        <v>50</v>
      </c>
      <c r="F763" t="s">
        <v>15</v>
      </c>
      <c r="G763">
        <v>2</v>
      </c>
      <c r="H763">
        <v>25</v>
      </c>
      <c r="I763">
        <v>50</v>
      </c>
    </row>
    <row r="764" spans="1:9" x14ac:dyDescent="0.25">
      <c r="A764">
        <v>763</v>
      </c>
      <c r="B764" s="1">
        <v>45939</v>
      </c>
      <c r="C764" t="s">
        <v>577</v>
      </c>
      <c r="D764" t="s">
        <v>12</v>
      </c>
      <c r="E764">
        <v>45</v>
      </c>
      <c r="F764" t="s">
        <v>13</v>
      </c>
      <c r="G764">
        <v>2</v>
      </c>
      <c r="H764">
        <v>25</v>
      </c>
      <c r="I764">
        <v>50</v>
      </c>
    </row>
    <row r="765" spans="1:9" x14ac:dyDescent="0.25">
      <c r="A765">
        <v>764</v>
      </c>
      <c r="B765" s="1">
        <v>45939</v>
      </c>
      <c r="C765" t="s">
        <v>578</v>
      </c>
      <c r="D765" t="s">
        <v>12</v>
      </c>
      <c r="E765">
        <v>64</v>
      </c>
      <c r="F765" t="s">
        <v>13</v>
      </c>
      <c r="G765">
        <v>1</v>
      </c>
      <c r="H765">
        <v>25</v>
      </c>
      <c r="I765">
        <v>25</v>
      </c>
    </row>
    <row r="766" spans="1:9" x14ac:dyDescent="0.25">
      <c r="A766">
        <v>765</v>
      </c>
      <c r="B766" s="1">
        <v>45940</v>
      </c>
      <c r="C766" t="s">
        <v>579</v>
      </c>
      <c r="D766" t="s">
        <v>12</v>
      </c>
      <c r="E766">
        <v>25</v>
      </c>
      <c r="F766" t="s">
        <v>13</v>
      </c>
      <c r="G766">
        <v>4</v>
      </c>
      <c r="H766">
        <v>50</v>
      </c>
      <c r="I766">
        <v>200</v>
      </c>
    </row>
    <row r="767" spans="1:9" x14ac:dyDescent="0.25">
      <c r="A767">
        <v>766</v>
      </c>
      <c r="B767" s="1">
        <v>45940</v>
      </c>
      <c r="C767" t="s">
        <v>580</v>
      </c>
      <c r="D767" t="s">
        <v>12</v>
      </c>
      <c r="E767">
        <v>51</v>
      </c>
      <c r="F767" t="s">
        <v>15</v>
      </c>
      <c r="G767">
        <v>3</v>
      </c>
      <c r="H767">
        <v>300</v>
      </c>
      <c r="I767">
        <v>900</v>
      </c>
    </row>
    <row r="768" spans="1:9" x14ac:dyDescent="0.25">
      <c r="A768">
        <v>767</v>
      </c>
      <c r="B768" s="1">
        <v>45940</v>
      </c>
      <c r="C768" t="s">
        <v>581</v>
      </c>
      <c r="D768" t="s">
        <v>9</v>
      </c>
      <c r="E768">
        <v>52</v>
      </c>
      <c r="F768" t="s">
        <v>10</v>
      </c>
      <c r="G768">
        <v>3</v>
      </c>
      <c r="H768">
        <v>25</v>
      </c>
      <c r="I768">
        <v>75</v>
      </c>
    </row>
    <row r="769" spans="1:9" x14ac:dyDescent="0.25">
      <c r="A769">
        <v>768</v>
      </c>
      <c r="B769" s="1">
        <v>45940</v>
      </c>
      <c r="C769" t="s">
        <v>582</v>
      </c>
      <c r="D769" t="s">
        <v>9</v>
      </c>
      <c r="E769">
        <v>49</v>
      </c>
      <c r="F769" t="s">
        <v>10</v>
      </c>
      <c r="G769">
        <v>3</v>
      </c>
      <c r="H769">
        <v>25</v>
      </c>
      <c r="I769">
        <v>75</v>
      </c>
    </row>
    <row r="770" spans="1:9" x14ac:dyDescent="0.25">
      <c r="A770">
        <v>769</v>
      </c>
      <c r="B770" s="1">
        <v>45941</v>
      </c>
      <c r="C770" t="s">
        <v>583</v>
      </c>
      <c r="D770" t="s">
        <v>12</v>
      </c>
      <c r="E770">
        <v>41</v>
      </c>
      <c r="F770" t="s">
        <v>15</v>
      </c>
      <c r="G770">
        <v>4</v>
      </c>
      <c r="H770">
        <v>30</v>
      </c>
      <c r="I770">
        <v>120</v>
      </c>
    </row>
    <row r="771" spans="1:9" x14ac:dyDescent="0.25">
      <c r="A771">
        <v>770</v>
      </c>
      <c r="B771" s="1">
        <v>45941</v>
      </c>
      <c r="C771" t="s">
        <v>584</v>
      </c>
      <c r="D771" t="s">
        <v>9</v>
      </c>
      <c r="E771">
        <v>31</v>
      </c>
      <c r="F771" t="s">
        <v>13</v>
      </c>
      <c r="G771">
        <v>1</v>
      </c>
      <c r="H771">
        <v>50</v>
      </c>
      <c r="I771">
        <v>50</v>
      </c>
    </row>
    <row r="772" spans="1:9" x14ac:dyDescent="0.25">
      <c r="A772">
        <v>771</v>
      </c>
      <c r="B772" s="1">
        <v>45941</v>
      </c>
      <c r="C772" t="s">
        <v>585</v>
      </c>
      <c r="D772" t="s">
        <v>9</v>
      </c>
      <c r="E772">
        <v>49</v>
      </c>
      <c r="F772" t="s">
        <v>15</v>
      </c>
      <c r="G772">
        <v>2</v>
      </c>
      <c r="H772">
        <v>25</v>
      </c>
      <c r="I772">
        <v>50</v>
      </c>
    </row>
    <row r="773" spans="1:9" x14ac:dyDescent="0.25">
      <c r="A773">
        <v>772</v>
      </c>
      <c r="B773" s="1">
        <v>45941</v>
      </c>
      <c r="C773" t="s">
        <v>586</v>
      </c>
      <c r="D773" t="s">
        <v>12</v>
      </c>
      <c r="E773">
        <v>63</v>
      </c>
      <c r="F773" t="s">
        <v>15</v>
      </c>
      <c r="G773">
        <v>1</v>
      </c>
      <c r="H773">
        <v>30</v>
      </c>
      <c r="I773">
        <v>30</v>
      </c>
    </row>
    <row r="774" spans="1:9" x14ac:dyDescent="0.25">
      <c r="A774">
        <v>773</v>
      </c>
      <c r="B774" s="1">
        <v>45941</v>
      </c>
      <c r="C774" t="s">
        <v>587</v>
      </c>
      <c r="D774" t="s">
        <v>9</v>
      </c>
      <c r="E774">
        <v>60</v>
      </c>
      <c r="F774" t="s">
        <v>15</v>
      </c>
      <c r="G774">
        <v>4</v>
      </c>
      <c r="H774">
        <v>500</v>
      </c>
      <c r="I774">
        <v>2000</v>
      </c>
    </row>
    <row r="775" spans="1:9" x14ac:dyDescent="0.25">
      <c r="A775">
        <v>774</v>
      </c>
      <c r="B775" s="1">
        <v>45941</v>
      </c>
      <c r="C775" t="s">
        <v>588</v>
      </c>
      <c r="D775" t="s">
        <v>12</v>
      </c>
      <c r="E775">
        <v>33</v>
      </c>
      <c r="F775" t="s">
        <v>13</v>
      </c>
      <c r="G775">
        <v>2</v>
      </c>
      <c r="H775">
        <v>25</v>
      </c>
      <c r="I775">
        <v>50</v>
      </c>
    </row>
    <row r="776" spans="1:9" x14ac:dyDescent="0.25">
      <c r="A776">
        <v>775</v>
      </c>
      <c r="B776" s="1">
        <v>45941</v>
      </c>
      <c r="C776" t="s">
        <v>589</v>
      </c>
      <c r="D776" t="s">
        <v>9</v>
      </c>
      <c r="E776">
        <v>21</v>
      </c>
      <c r="F776" t="s">
        <v>15</v>
      </c>
      <c r="G776">
        <v>4</v>
      </c>
      <c r="H776">
        <v>25</v>
      </c>
      <c r="I776">
        <v>100</v>
      </c>
    </row>
    <row r="777" spans="1:9" x14ac:dyDescent="0.25">
      <c r="A777">
        <v>776</v>
      </c>
      <c r="B777" s="1">
        <v>45942</v>
      </c>
      <c r="C777" t="s">
        <v>590</v>
      </c>
      <c r="D777" t="s">
        <v>12</v>
      </c>
      <c r="E777">
        <v>54</v>
      </c>
      <c r="F777" t="s">
        <v>13</v>
      </c>
      <c r="G777">
        <v>3</v>
      </c>
      <c r="H777">
        <v>30</v>
      </c>
      <c r="I777">
        <v>90</v>
      </c>
    </row>
    <row r="778" spans="1:9" x14ac:dyDescent="0.25">
      <c r="A778">
        <v>777</v>
      </c>
      <c r="B778" s="1">
        <v>45942</v>
      </c>
      <c r="C778" t="s">
        <v>591</v>
      </c>
      <c r="D778" t="s">
        <v>12</v>
      </c>
      <c r="E778">
        <v>38</v>
      </c>
      <c r="F778" t="s">
        <v>15</v>
      </c>
      <c r="G778">
        <v>3</v>
      </c>
      <c r="H778">
        <v>50</v>
      </c>
      <c r="I778">
        <v>150</v>
      </c>
    </row>
    <row r="779" spans="1:9" x14ac:dyDescent="0.25">
      <c r="A779">
        <v>778</v>
      </c>
      <c r="B779" s="1">
        <v>45942</v>
      </c>
      <c r="C779" t="s">
        <v>592</v>
      </c>
      <c r="D779" t="s">
        <v>12</v>
      </c>
      <c r="E779">
        <v>31</v>
      </c>
      <c r="F779" t="s">
        <v>10</v>
      </c>
      <c r="G779">
        <v>4</v>
      </c>
      <c r="H779">
        <v>25</v>
      </c>
      <c r="I779">
        <v>100</v>
      </c>
    </row>
    <row r="780" spans="1:9" x14ac:dyDescent="0.25">
      <c r="A780">
        <v>779</v>
      </c>
      <c r="B780" s="1">
        <v>45943</v>
      </c>
      <c r="C780" t="s">
        <v>593</v>
      </c>
      <c r="D780" t="s">
        <v>12</v>
      </c>
      <c r="E780">
        <v>48</v>
      </c>
      <c r="F780" t="s">
        <v>15</v>
      </c>
      <c r="G780">
        <v>5</v>
      </c>
      <c r="H780">
        <v>500</v>
      </c>
      <c r="I780">
        <v>2500</v>
      </c>
    </row>
    <row r="781" spans="1:9" x14ac:dyDescent="0.25">
      <c r="A781">
        <v>780</v>
      </c>
      <c r="B781" s="1">
        <v>45943</v>
      </c>
      <c r="C781" t="s">
        <v>594</v>
      </c>
      <c r="D781" t="s">
        <v>9</v>
      </c>
      <c r="E781">
        <v>35</v>
      </c>
      <c r="F781" t="s">
        <v>15</v>
      </c>
      <c r="G781">
        <v>2</v>
      </c>
      <c r="H781">
        <v>25</v>
      </c>
      <c r="I781">
        <v>50</v>
      </c>
    </row>
    <row r="782" spans="1:9" x14ac:dyDescent="0.25">
      <c r="A782">
        <v>781</v>
      </c>
      <c r="B782" s="1">
        <v>45943</v>
      </c>
      <c r="C782" t="s">
        <v>595</v>
      </c>
      <c r="D782" t="s">
        <v>12</v>
      </c>
      <c r="E782">
        <v>24</v>
      </c>
      <c r="F782" t="s">
        <v>10</v>
      </c>
      <c r="G782">
        <v>1</v>
      </c>
      <c r="H782">
        <v>500</v>
      </c>
      <c r="I782">
        <v>500</v>
      </c>
    </row>
    <row r="783" spans="1:9" x14ac:dyDescent="0.25">
      <c r="A783">
        <v>782</v>
      </c>
      <c r="B783" s="1">
        <v>45944</v>
      </c>
      <c r="C783" t="s">
        <v>596</v>
      </c>
      <c r="D783" t="s">
        <v>12</v>
      </c>
      <c r="E783">
        <v>27</v>
      </c>
      <c r="F783" t="s">
        <v>13</v>
      </c>
      <c r="G783">
        <v>3</v>
      </c>
      <c r="H783">
        <v>300</v>
      </c>
      <c r="I783">
        <v>900</v>
      </c>
    </row>
    <row r="784" spans="1:9" x14ac:dyDescent="0.25">
      <c r="A784">
        <v>783</v>
      </c>
      <c r="B784" s="1">
        <v>45944</v>
      </c>
      <c r="C784" t="s">
        <v>597</v>
      </c>
      <c r="D784" t="s">
        <v>12</v>
      </c>
      <c r="E784">
        <v>24</v>
      </c>
      <c r="F784" t="s">
        <v>13</v>
      </c>
      <c r="G784">
        <v>1</v>
      </c>
      <c r="H784">
        <v>300</v>
      </c>
      <c r="I784">
        <v>300</v>
      </c>
    </row>
    <row r="785" spans="1:9" x14ac:dyDescent="0.25">
      <c r="A785">
        <v>784</v>
      </c>
      <c r="B785" s="1">
        <v>45945</v>
      </c>
      <c r="C785" t="s">
        <v>598</v>
      </c>
      <c r="D785" t="s">
        <v>9</v>
      </c>
      <c r="E785">
        <v>50</v>
      </c>
      <c r="F785" t="s">
        <v>15</v>
      </c>
      <c r="G785">
        <v>1</v>
      </c>
      <c r="H785">
        <v>500</v>
      </c>
      <c r="I785">
        <v>500</v>
      </c>
    </row>
    <row r="786" spans="1:9" x14ac:dyDescent="0.25">
      <c r="A786">
        <v>785</v>
      </c>
      <c r="B786" s="1">
        <v>45945</v>
      </c>
      <c r="C786" t="s">
        <v>599</v>
      </c>
      <c r="D786" t="s">
        <v>12</v>
      </c>
      <c r="E786">
        <v>40</v>
      </c>
      <c r="F786" t="s">
        <v>10</v>
      </c>
      <c r="G786">
        <v>4</v>
      </c>
      <c r="H786">
        <v>50</v>
      </c>
      <c r="I786">
        <v>200</v>
      </c>
    </row>
    <row r="787" spans="1:9" x14ac:dyDescent="0.25">
      <c r="A787">
        <v>786</v>
      </c>
      <c r="B787" s="1">
        <v>45945</v>
      </c>
      <c r="C787" t="s">
        <v>600</v>
      </c>
      <c r="D787" t="s">
        <v>9</v>
      </c>
      <c r="E787">
        <v>38</v>
      </c>
      <c r="F787" t="s">
        <v>13</v>
      </c>
      <c r="G787">
        <v>4</v>
      </c>
      <c r="H787">
        <v>25</v>
      </c>
      <c r="I787">
        <v>100</v>
      </c>
    </row>
    <row r="788" spans="1:9" x14ac:dyDescent="0.25">
      <c r="A788">
        <v>787</v>
      </c>
      <c r="B788" s="1">
        <v>45946</v>
      </c>
      <c r="C788" t="s">
        <v>601</v>
      </c>
      <c r="D788" t="s">
        <v>12</v>
      </c>
      <c r="E788">
        <v>36</v>
      </c>
      <c r="F788" t="s">
        <v>15</v>
      </c>
      <c r="G788">
        <v>1</v>
      </c>
      <c r="H788">
        <v>25</v>
      </c>
      <c r="I788">
        <v>25</v>
      </c>
    </row>
    <row r="789" spans="1:9" x14ac:dyDescent="0.25">
      <c r="A789">
        <v>788</v>
      </c>
      <c r="B789" s="1">
        <v>45946</v>
      </c>
      <c r="C789" t="s">
        <v>602</v>
      </c>
      <c r="D789" t="s">
        <v>9</v>
      </c>
      <c r="E789">
        <v>36</v>
      </c>
      <c r="F789" t="s">
        <v>10</v>
      </c>
      <c r="G789">
        <v>3</v>
      </c>
      <c r="H789">
        <v>300</v>
      </c>
      <c r="I789">
        <v>900</v>
      </c>
    </row>
    <row r="790" spans="1:9" x14ac:dyDescent="0.25">
      <c r="A790">
        <v>789</v>
      </c>
      <c r="B790" s="1">
        <v>45946</v>
      </c>
      <c r="C790" t="s">
        <v>603</v>
      </c>
      <c r="D790" t="s">
        <v>9</v>
      </c>
      <c r="E790">
        <v>53</v>
      </c>
      <c r="F790" t="s">
        <v>13</v>
      </c>
      <c r="G790">
        <v>4</v>
      </c>
      <c r="H790">
        <v>500</v>
      </c>
      <c r="I790">
        <v>2000</v>
      </c>
    </row>
    <row r="791" spans="1:9" x14ac:dyDescent="0.25">
      <c r="A791">
        <v>790</v>
      </c>
      <c r="B791" s="1">
        <v>45946</v>
      </c>
      <c r="C791" t="s">
        <v>604</v>
      </c>
      <c r="D791" t="s">
        <v>12</v>
      </c>
      <c r="E791">
        <v>46</v>
      </c>
      <c r="F791" t="s">
        <v>13</v>
      </c>
      <c r="G791">
        <v>1</v>
      </c>
      <c r="H791">
        <v>25</v>
      </c>
      <c r="I791">
        <v>25</v>
      </c>
    </row>
    <row r="792" spans="1:9" x14ac:dyDescent="0.25">
      <c r="A792">
        <v>791</v>
      </c>
      <c r="B792" s="1">
        <v>45947</v>
      </c>
      <c r="C792" t="s">
        <v>605</v>
      </c>
      <c r="D792" t="s">
        <v>9</v>
      </c>
      <c r="E792">
        <v>35</v>
      </c>
      <c r="F792" t="s">
        <v>10</v>
      </c>
      <c r="G792">
        <v>1</v>
      </c>
      <c r="H792">
        <v>25</v>
      </c>
      <c r="I792">
        <v>25</v>
      </c>
    </row>
    <row r="793" spans="1:9" x14ac:dyDescent="0.25">
      <c r="A793">
        <v>792</v>
      </c>
      <c r="B793" s="1">
        <v>45947</v>
      </c>
      <c r="C793" t="s">
        <v>606</v>
      </c>
      <c r="D793" t="s">
        <v>12</v>
      </c>
      <c r="E793">
        <v>19</v>
      </c>
      <c r="F793" t="s">
        <v>10</v>
      </c>
      <c r="G793">
        <v>1</v>
      </c>
      <c r="H793">
        <v>50</v>
      </c>
      <c r="I793">
        <v>50</v>
      </c>
    </row>
    <row r="794" spans="1:9" x14ac:dyDescent="0.25">
      <c r="A794">
        <v>793</v>
      </c>
      <c r="B794" s="1">
        <v>45948</v>
      </c>
      <c r="C794" t="s">
        <v>607</v>
      </c>
      <c r="D794" t="s">
        <v>12</v>
      </c>
      <c r="E794">
        <v>18</v>
      </c>
      <c r="F794" t="s">
        <v>10</v>
      </c>
      <c r="G794">
        <v>1</v>
      </c>
      <c r="H794">
        <v>30</v>
      </c>
      <c r="I794">
        <v>30</v>
      </c>
    </row>
    <row r="795" spans="1:9" x14ac:dyDescent="0.25">
      <c r="A795">
        <v>794</v>
      </c>
      <c r="B795" s="1">
        <v>45948</v>
      </c>
      <c r="C795" t="s">
        <v>608</v>
      </c>
      <c r="D795" t="s">
        <v>12</v>
      </c>
      <c r="E795">
        <v>64</v>
      </c>
      <c r="F795" t="s">
        <v>10</v>
      </c>
      <c r="G795">
        <v>6</v>
      </c>
      <c r="H795">
        <v>300</v>
      </c>
      <c r="I795">
        <v>1800</v>
      </c>
    </row>
    <row r="796" spans="1:9" x14ac:dyDescent="0.25">
      <c r="A796">
        <v>795</v>
      </c>
      <c r="B796" s="1">
        <v>45949</v>
      </c>
      <c r="C796" t="s">
        <v>609</v>
      </c>
      <c r="D796" t="s">
        <v>9</v>
      </c>
      <c r="E796">
        <v>22</v>
      </c>
      <c r="F796" t="s">
        <v>15</v>
      </c>
      <c r="G796">
        <v>1</v>
      </c>
      <c r="H796">
        <v>300</v>
      </c>
      <c r="I796">
        <v>300</v>
      </c>
    </row>
    <row r="797" spans="1:9" x14ac:dyDescent="0.25">
      <c r="A797">
        <v>796</v>
      </c>
      <c r="B797" s="1">
        <v>45949</v>
      </c>
      <c r="C797" t="s">
        <v>610</v>
      </c>
      <c r="D797" t="s">
        <v>9</v>
      </c>
      <c r="E797">
        <v>37</v>
      </c>
      <c r="F797" t="s">
        <v>10</v>
      </c>
      <c r="G797">
        <v>4</v>
      </c>
      <c r="H797">
        <v>30</v>
      </c>
      <c r="I797">
        <v>120</v>
      </c>
    </row>
    <row r="798" spans="1:9" x14ac:dyDescent="0.25">
      <c r="A798">
        <v>797</v>
      </c>
      <c r="B798" s="1">
        <v>45949</v>
      </c>
      <c r="C798" t="s">
        <v>611</v>
      </c>
      <c r="D798" t="s">
        <v>12</v>
      </c>
      <c r="E798">
        <v>28</v>
      </c>
      <c r="F798" t="s">
        <v>13</v>
      </c>
      <c r="G798">
        <v>3</v>
      </c>
      <c r="H798">
        <v>25</v>
      </c>
      <c r="I798">
        <v>75</v>
      </c>
    </row>
    <row r="799" spans="1:9" x14ac:dyDescent="0.25">
      <c r="A799">
        <v>798</v>
      </c>
      <c r="B799" s="1">
        <v>45949</v>
      </c>
      <c r="C799" t="s">
        <v>612</v>
      </c>
      <c r="D799" t="s">
        <v>12</v>
      </c>
      <c r="E799">
        <v>59</v>
      </c>
      <c r="F799" t="s">
        <v>13</v>
      </c>
      <c r="G799">
        <v>1</v>
      </c>
      <c r="H799">
        <v>50</v>
      </c>
      <c r="I799">
        <v>50</v>
      </c>
    </row>
    <row r="800" spans="1:9" x14ac:dyDescent="0.25">
      <c r="A800">
        <v>799</v>
      </c>
      <c r="B800" s="1">
        <v>45950</v>
      </c>
      <c r="C800" t="s">
        <v>613</v>
      </c>
      <c r="D800" t="s">
        <v>9</v>
      </c>
      <c r="E800">
        <v>19</v>
      </c>
      <c r="F800" t="s">
        <v>15</v>
      </c>
      <c r="G800">
        <v>2</v>
      </c>
      <c r="H800">
        <v>50</v>
      </c>
      <c r="I800">
        <v>100</v>
      </c>
    </row>
    <row r="801" spans="1:9" x14ac:dyDescent="0.25">
      <c r="A801">
        <v>800</v>
      </c>
      <c r="B801" s="1">
        <v>45951</v>
      </c>
      <c r="C801" t="s">
        <v>614</v>
      </c>
      <c r="D801" t="s">
        <v>12</v>
      </c>
      <c r="E801">
        <v>20</v>
      </c>
      <c r="F801" t="s">
        <v>13</v>
      </c>
      <c r="G801">
        <v>4</v>
      </c>
      <c r="H801">
        <v>300</v>
      </c>
      <c r="I801">
        <v>1200</v>
      </c>
    </row>
    <row r="802" spans="1:9" x14ac:dyDescent="0.25">
      <c r="A802">
        <v>801</v>
      </c>
      <c r="B802" s="1">
        <v>45952</v>
      </c>
      <c r="C802" t="s">
        <v>615</v>
      </c>
      <c r="D802" t="s">
        <v>12</v>
      </c>
      <c r="E802">
        <v>40</v>
      </c>
      <c r="F802" t="s">
        <v>13</v>
      </c>
      <c r="G802">
        <v>4</v>
      </c>
      <c r="H802">
        <v>50</v>
      </c>
      <c r="I802">
        <v>200</v>
      </c>
    </row>
    <row r="803" spans="1:9" x14ac:dyDescent="0.25">
      <c r="A803">
        <v>802</v>
      </c>
      <c r="B803" s="1">
        <v>45952</v>
      </c>
      <c r="C803" t="s">
        <v>616</v>
      </c>
      <c r="D803" t="s">
        <v>12</v>
      </c>
      <c r="E803">
        <v>29</v>
      </c>
      <c r="F803" t="s">
        <v>10</v>
      </c>
      <c r="G803">
        <v>1</v>
      </c>
      <c r="H803">
        <v>30</v>
      </c>
      <c r="I803">
        <v>30</v>
      </c>
    </row>
    <row r="804" spans="1:9" x14ac:dyDescent="0.25">
      <c r="A804">
        <v>803</v>
      </c>
      <c r="B804" s="1">
        <v>45952</v>
      </c>
      <c r="C804" t="s">
        <v>617</v>
      </c>
      <c r="D804" t="s">
        <v>9</v>
      </c>
      <c r="E804">
        <v>37</v>
      </c>
      <c r="F804" t="s">
        <v>13</v>
      </c>
      <c r="G804">
        <v>4</v>
      </c>
      <c r="H804">
        <v>25</v>
      </c>
      <c r="I804">
        <v>100</v>
      </c>
    </row>
    <row r="805" spans="1:9" x14ac:dyDescent="0.25">
      <c r="A805">
        <v>804</v>
      </c>
      <c r="B805" s="1">
        <v>45953</v>
      </c>
      <c r="C805" t="s">
        <v>618</v>
      </c>
      <c r="D805" t="s">
        <v>9</v>
      </c>
      <c r="E805">
        <v>22</v>
      </c>
      <c r="F805" t="s">
        <v>15</v>
      </c>
      <c r="G805">
        <v>1</v>
      </c>
      <c r="H805">
        <v>30</v>
      </c>
      <c r="I805">
        <v>30</v>
      </c>
    </row>
    <row r="806" spans="1:9" x14ac:dyDescent="0.25">
      <c r="A806">
        <v>805</v>
      </c>
      <c r="B806" s="1">
        <v>45953</v>
      </c>
      <c r="C806" t="s">
        <v>619</v>
      </c>
      <c r="D806" t="s">
        <v>9</v>
      </c>
      <c r="E806">
        <v>54</v>
      </c>
      <c r="F806" t="s">
        <v>10</v>
      </c>
      <c r="G806">
        <v>3</v>
      </c>
      <c r="H806">
        <v>500</v>
      </c>
      <c r="I806">
        <v>1500</v>
      </c>
    </row>
    <row r="807" spans="1:9" x14ac:dyDescent="0.25">
      <c r="A807">
        <v>806</v>
      </c>
      <c r="B807" s="1">
        <v>45953</v>
      </c>
      <c r="C807" t="s">
        <v>620</v>
      </c>
      <c r="D807" t="s">
        <v>12</v>
      </c>
      <c r="E807">
        <v>55</v>
      </c>
      <c r="F807" t="s">
        <v>10</v>
      </c>
      <c r="G807">
        <v>3</v>
      </c>
      <c r="H807">
        <v>300</v>
      </c>
      <c r="I807">
        <v>900</v>
      </c>
    </row>
    <row r="808" spans="1:9" x14ac:dyDescent="0.25">
      <c r="A808">
        <v>807</v>
      </c>
      <c r="B808" s="1">
        <v>45953</v>
      </c>
      <c r="C808" t="s">
        <v>621</v>
      </c>
      <c r="D808" t="s">
        <v>12</v>
      </c>
      <c r="E808">
        <v>47</v>
      </c>
      <c r="F808" t="s">
        <v>15</v>
      </c>
      <c r="G808">
        <v>4</v>
      </c>
      <c r="H808">
        <v>50</v>
      </c>
      <c r="I808">
        <v>200</v>
      </c>
    </row>
    <row r="809" spans="1:9" x14ac:dyDescent="0.25">
      <c r="A809">
        <v>808</v>
      </c>
      <c r="B809" s="1">
        <v>45954</v>
      </c>
      <c r="C809" t="s">
        <v>622</v>
      </c>
      <c r="D809" t="s">
        <v>12</v>
      </c>
      <c r="E809">
        <v>26</v>
      </c>
      <c r="F809" t="s">
        <v>10</v>
      </c>
      <c r="G809">
        <v>4</v>
      </c>
      <c r="H809">
        <v>500</v>
      </c>
      <c r="I809">
        <v>2000</v>
      </c>
    </row>
    <row r="810" spans="1:9" x14ac:dyDescent="0.25">
      <c r="A810">
        <v>809</v>
      </c>
      <c r="B810" s="1">
        <v>45954</v>
      </c>
      <c r="C810" t="s">
        <v>172</v>
      </c>
      <c r="D810" t="s">
        <v>12</v>
      </c>
      <c r="E810">
        <v>43</v>
      </c>
      <c r="F810" t="s">
        <v>10</v>
      </c>
      <c r="G810">
        <v>2</v>
      </c>
      <c r="H810">
        <v>50</v>
      </c>
      <c r="I810">
        <v>100</v>
      </c>
    </row>
    <row r="811" spans="1:9" x14ac:dyDescent="0.25">
      <c r="A811">
        <v>810</v>
      </c>
      <c r="B811" s="1">
        <v>45954</v>
      </c>
      <c r="C811" t="s">
        <v>174</v>
      </c>
      <c r="D811" t="s">
        <v>9</v>
      </c>
      <c r="E811">
        <v>39</v>
      </c>
      <c r="F811" t="s">
        <v>15</v>
      </c>
      <c r="G811">
        <v>4</v>
      </c>
      <c r="H811">
        <v>25</v>
      </c>
      <c r="I811">
        <v>100</v>
      </c>
    </row>
    <row r="812" spans="1:9" x14ac:dyDescent="0.25">
      <c r="A812">
        <v>811</v>
      </c>
      <c r="B812" s="1">
        <v>45954</v>
      </c>
      <c r="C812" t="s">
        <v>175</v>
      </c>
      <c r="D812" t="s">
        <v>12</v>
      </c>
      <c r="E812">
        <v>64</v>
      </c>
      <c r="F812" t="s">
        <v>10</v>
      </c>
      <c r="G812">
        <v>2</v>
      </c>
      <c r="H812">
        <v>25</v>
      </c>
      <c r="I812">
        <v>50</v>
      </c>
    </row>
    <row r="813" spans="1:9" x14ac:dyDescent="0.25">
      <c r="A813">
        <v>812</v>
      </c>
      <c r="B813" s="1">
        <v>45955</v>
      </c>
      <c r="C813" t="s">
        <v>177</v>
      </c>
      <c r="D813" t="s">
        <v>12</v>
      </c>
      <c r="E813">
        <v>60</v>
      </c>
      <c r="F813" t="s">
        <v>15</v>
      </c>
      <c r="G813">
        <v>3</v>
      </c>
      <c r="H813">
        <v>25</v>
      </c>
      <c r="I813">
        <v>75</v>
      </c>
    </row>
    <row r="814" spans="1:9" x14ac:dyDescent="0.25">
      <c r="A814">
        <v>813</v>
      </c>
      <c r="B814" s="1">
        <v>45955</v>
      </c>
      <c r="C814" t="s">
        <v>178</v>
      </c>
      <c r="D814" t="s">
        <v>9</v>
      </c>
      <c r="E814">
        <v>34</v>
      </c>
      <c r="F814" t="s">
        <v>15</v>
      </c>
      <c r="G814">
        <v>3</v>
      </c>
      <c r="H814">
        <v>50</v>
      </c>
      <c r="I814">
        <v>150</v>
      </c>
    </row>
    <row r="815" spans="1:9" x14ac:dyDescent="0.25">
      <c r="A815">
        <v>814</v>
      </c>
      <c r="B815" s="1">
        <v>45956</v>
      </c>
      <c r="C815" t="s">
        <v>179</v>
      </c>
      <c r="D815" t="s">
        <v>12</v>
      </c>
      <c r="E815">
        <v>43</v>
      </c>
      <c r="F815" t="s">
        <v>13</v>
      </c>
      <c r="G815">
        <v>1</v>
      </c>
      <c r="H815">
        <v>500</v>
      </c>
      <c r="I815">
        <v>500</v>
      </c>
    </row>
    <row r="816" spans="1:9" x14ac:dyDescent="0.25">
      <c r="A816">
        <v>815</v>
      </c>
      <c r="B816" s="1">
        <v>45956</v>
      </c>
      <c r="C816" t="s">
        <v>180</v>
      </c>
      <c r="D816" t="s">
        <v>9</v>
      </c>
      <c r="E816">
        <v>53</v>
      </c>
      <c r="F816" t="s">
        <v>13</v>
      </c>
      <c r="G816">
        <v>3</v>
      </c>
      <c r="H816">
        <v>25</v>
      </c>
      <c r="I816">
        <v>75</v>
      </c>
    </row>
    <row r="817" spans="1:9" x14ac:dyDescent="0.25">
      <c r="A817">
        <v>816</v>
      </c>
      <c r="B817" s="1">
        <v>45956</v>
      </c>
      <c r="C817" t="s">
        <v>182</v>
      </c>
      <c r="D817" t="s">
        <v>12</v>
      </c>
      <c r="E817">
        <v>25</v>
      </c>
      <c r="F817" t="s">
        <v>10</v>
      </c>
      <c r="G817">
        <v>2</v>
      </c>
      <c r="H817">
        <v>500</v>
      </c>
      <c r="I817">
        <v>1000</v>
      </c>
    </row>
    <row r="818" spans="1:9" x14ac:dyDescent="0.25">
      <c r="A818">
        <v>817</v>
      </c>
      <c r="B818" s="1">
        <v>45957</v>
      </c>
      <c r="C818" t="s">
        <v>183</v>
      </c>
      <c r="D818" t="s">
        <v>12</v>
      </c>
      <c r="E818">
        <v>52</v>
      </c>
      <c r="F818" t="s">
        <v>10</v>
      </c>
      <c r="G818">
        <v>4</v>
      </c>
      <c r="H818">
        <v>50</v>
      </c>
      <c r="I818">
        <v>200</v>
      </c>
    </row>
    <row r="819" spans="1:9" x14ac:dyDescent="0.25">
      <c r="A819">
        <v>818</v>
      </c>
      <c r="B819" s="1">
        <v>45957</v>
      </c>
      <c r="C819" t="s">
        <v>190</v>
      </c>
      <c r="D819" t="s">
        <v>9</v>
      </c>
      <c r="E819">
        <v>40</v>
      </c>
      <c r="F819" t="s">
        <v>15</v>
      </c>
      <c r="G819">
        <v>1</v>
      </c>
      <c r="H819">
        <v>500</v>
      </c>
      <c r="I819">
        <v>500</v>
      </c>
    </row>
    <row r="820" spans="1:9" x14ac:dyDescent="0.25">
      <c r="A820">
        <v>819</v>
      </c>
      <c r="B820" s="1">
        <v>45957</v>
      </c>
      <c r="C820" t="s">
        <v>192</v>
      </c>
      <c r="D820" t="s">
        <v>9</v>
      </c>
      <c r="E820">
        <v>41</v>
      </c>
      <c r="F820" t="s">
        <v>10</v>
      </c>
      <c r="G820">
        <v>2</v>
      </c>
      <c r="H820">
        <v>50</v>
      </c>
      <c r="I820">
        <v>100</v>
      </c>
    </row>
    <row r="821" spans="1:9" x14ac:dyDescent="0.25">
      <c r="A821">
        <v>820</v>
      </c>
      <c r="B821" s="1">
        <v>45959</v>
      </c>
      <c r="C821" t="s">
        <v>197</v>
      </c>
      <c r="D821" t="s">
        <v>9</v>
      </c>
      <c r="E821">
        <v>24</v>
      </c>
      <c r="F821" t="s">
        <v>15</v>
      </c>
      <c r="G821">
        <v>4</v>
      </c>
      <c r="H821">
        <v>50</v>
      </c>
      <c r="I821">
        <v>200</v>
      </c>
    </row>
    <row r="822" spans="1:9" x14ac:dyDescent="0.25">
      <c r="A822">
        <v>821</v>
      </c>
      <c r="B822" s="1">
        <v>45959</v>
      </c>
      <c r="C822" t="s">
        <v>198</v>
      </c>
      <c r="D822" t="s">
        <v>9</v>
      </c>
      <c r="E822">
        <v>20</v>
      </c>
      <c r="F822" t="s">
        <v>15</v>
      </c>
      <c r="G822">
        <v>1</v>
      </c>
      <c r="H822">
        <v>300</v>
      </c>
      <c r="I822">
        <v>300</v>
      </c>
    </row>
    <row r="823" spans="1:9" x14ac:dyDescent="0.25">
      <c r="A823">
        <v>822</v>
      </c>
      <c r="B823" s="1">
        <v>45959</v>
      </c>
      <c r="C823" t="s">
        <v>199</v>
      </c>
      <c r="D823" t="s">
        <v>12</v>
      </c>
      <c r="E823">
        <v>64</v>
      </c>
      <c r="F823" t="s">
        <v>10</v>
      </c>
      <c r="G823">
        <v>3</v>
      </c>
      <c r="H823">
        <v>50</v>
      </c>
      <c r="I823">
        <v>150</v>
      </c>
    </row>
    <row r="824" spans="1:9" x14ac:dyDescent="0.25">
      <c r="A824">
        <v>823</v>
      </c>
      <c r="B824" s="1">
        <v>45959</v>
      </c>
      <c r="C824" t="s">
        <v>200</v>
      </c>
      <c r="D824" t="s">
        <v>9</v>
      </c>
      <c r="E824">
        <v>40</v>
      </c>
      <c r="F824" t="s">
        <v>15</v>
      </c>
      <c r="G824">
        <v>2</v>
      </c>
      <c r="H824">
        <v>50</v>
      </c>
      <c r="I824">
        <v>100</v>
      </c>
    </row>
    <row r="825" spans="1:9" x14ac:dyDescent="0.25">
      <c r="A825">
        <v>824</v>
      </c>
      <c r="B825" s="1">
        <v>45959</v>
      </c>
      <c r="C825" t="s">
        <v>206</v>
      </c>
      <c r="D825" t="s">
        <v>9</v>
      </c>
      <c r="E825">
        <v>55</v>
      </c>
      <c r="F825" t="s">
        <v>13</v>
      </c>
      <c r="G825">
        <v>4</v>
      </c>
      <c r="H825">
        <v>30</v>
      </c>
      <c r="I825">
        <v>120</v>
      </c>
    </row>
    <row r="826" spans="1:9" x14ac:dyDescent="0.25">
      <c r="A826">
        <v>825</v>
      </c>
      <c r="B826" s="1">
        <v>45959</v>
      </c>
      <c r="C826" t="s">
        <v>207</v>
      </c>
      <c r="D826" t="s">
        <v>9</v>
      </c>
      <c r="E826">
        <v>52</v>
      </c>
      <c r="F826" t="s">
        <v>10</v>
      </c>
      <c r="G826">
        <v>1</v>
      </c>
      <c r="H826">
        <v>25</v>
      </c>
      <c r="I826">
        <v>25</v>
      </c>
    </row>
    <row r="827" spans="1:9" x14ac:dyDescent="0.25">
      <c r="A827">
        <v>826</v>
      </c>
      <c r="B827" s="1">
        <v>45960</v>
      </c>
      <c r="C827" t="s">
        <v>208</v>
      </c>
      <c r="D827" t="s">
        <v>12</v>
      </c>
      <c r="E827">
        <v>32</v>
      </c>
      <c r="F827" t="s">
        <v>13</v>
      </c>
      <c r="G827">
        <v>1</v>
      </c>
      <c r="H827">
        <v>300</v>
      </c>
      <c r="I827">
        <v>300</v>
      </c>
    </row>
    <row r="828" spans="1:9" x14ac:dyDescent="0.25">
      <c r="A828">
        <v>827</v>
      </c>
      <c r="B828" s="1">
        <v>45961</v>
      </c>
      <c r="C828" t="s">
        <v>209</v>
      </c>
      <c r="D828" t="s">
        <v>12</v>
      </c>
      <c r="E828">
        <v>42</v>
      </c>
      <c r="F828" t="s">
        <v>10</v>
      </c>
      <c r="G828">
        <v>3</v>
      </c>
      <c r="H828">
        <v>300</v>
      </c>
      <c r="I828">
        <v>900</v>
      </c>
    </row>
    <row r="829" spans="1:9" x14ac:dyDescent="0.25">
      <c r="A829">
        <v>828</v>
      </c>
      <c r="B829" s="1">
        <v>45961</v>
      </c>
      <c r="C829" t="s">
        <v>214</v>
      </c>
      <c r="D829" t="s">
        <v>12</v>
      </c>
      <c r="E829">
        <v>34</v>
      </c>
      <c r="F829" t="s">
        <v>15</v>
      </c>
      <c r="G829">
        <v>4</v>
      </c>
      <c r="H829">
        <v>300</v>
      </c>
      <c r="I829">
        <v>1200</v>
      </c>
    </row>
    <row r="830" spans="1:9" x14ac:dyDescent="0.25">
      <c r="A830">
        <v>829</v>
      </c>
      <c r="B830" s="1">
        <v>45961</v>
      </c>
      <c r="C830" t="s">
        <v>215</v>
      </c>
      <c r="D830" t="s">
        <v>9</v>
      </c>
      <c r="E830">
        <v>56</v>
      </c>
      <c r="F830" t="s">
        <v>10</v>
      </c>
      <c r="G830">
        <v>3</v>
      </c>
      <c r="H830">
        <v>30</v>
      </c>
      <c r="I830">
        <v>90</v>
      </c>
    </row>
    <row r="831" spans="1:9" x14ac:dyDescent="0.25">
      <c r="A831">
        <v>830</v>
      </c>
      <c r="B831" s="1">
        <v>45962</v>
      </c>
      <c r="C831" t="s">
        <v>217</v>
      </c>
      <c r="D831" t="s">
        <v>12</v>
      </c>
      <c r="E831">
        <v>43</v>
      </c>
      <c r="F831" t="s">
        <v>13</v>
      </c>
      <c r="G831">
        <v>3</v>
      </c>
      <c r="H831">
        <v>50</v>
      </c>
      <c r="I831">
        <v>150</v>
      </c>
    </row>
    <row r="832" spans="1:9" x14ac:dyDescent="0.25">
      <c r="A832">
        <v>831</v>
      </c>
      <c r="B832" s="1">
        <v>45962</v>
      </c>
      <c r="C832" t="s">
        <v>218</v>
      </c>
      <c r="D832" t="s">
        <v>9</v>
      </c>
      <c r="E832">
        <v>61</v>
      </c>
      <c r="F832" t="s">
        <v>15</v>
      </c>
      <c r="G832">
        <v>4</v>
      </c>
      <c r="H832">
        <v>25</v>
      </c>
      <c r="I832">
        <v>100</v>
      </c>
    </row>
    <row r="833" spans="1:9" x14ac:dyDescent="0.25">
      <c r="A833">
        <v>832</v>
      </c>
      <c r="B833" s="1">
        <v>45962</v>
      </c>
      <c r="C833" t="s">
        <v>224</v>
      </c>
      <c r="D833" t="s">
        <v>9</v>
      </c>
      <c r="E833">
        <v>21</v>
      </c>
      <c r="F833" t="s">
        <v>10</v>
      </c>
      <c r="G833">
        <v>4</v>
      </c>
      <c r="H833">
        <v>500</v>
      </c>
      <c r="I833">
        <v>2000</v>
      </c>
    </row>
    <row r="834" spans="1:9" x14ac:dyDescent="0.25">
      <c r="A834">
        <v>833</v>
      </c>
      <c r="B834" s="1">
        <v>45962</v>
      </c>
      <c r="C834" t="s">
        <v>227</v>
      </c>
      <c r="D834" t="s">
        <v>9</v>
      </c>
      <c r="E834">
        <v>58</v>
      </c>
      <c r="F834" t="s">
        <v>10</v>
      </c>
      <c r="G834">
        <v>4</v>
      </c>
      <c r="H834">
        <v>50</v>
      </c>
      <c r="I834">
        <v>200</v>
      </c>
    </row>
    <row r="835" spans="1:9" x14ac:dyDescent="0.25">
      <c r="A835">
        <v>834</v>
      </c>
      <c r="B835" s="1">
        <v>45963</v>
      </c>
      <c r="C835" t="s">
        <v>234</v>
      </c>
      <c r="D835" t="s">
        <v>9</v>
      </c>
      <c r="E835">
        <v>51</v>
      </c>
      <c r="F835" t="s">
        <v>10</v>
      </c>
      <c r="G835">
        <v>2</v>
      </c>
      <c r="H835">
        <v>30</v>
      </c>
      <c r="I835">
        <v>60</v>
      </c>
    </row>
    <row r="836" spans="1:9" x14ac:dyDescent="0.25">
      <c r="A836">
        <v>835</v>
      </c>
      <c r="B836" s="1">
        <v>45963</v>
      </c>
      <c r="C836" t="s">
        <v>235</v>
      </c>
      <c r="D836" t="s">
        <v>12</v>
      </c>
      <c r="E836">
        <v>64</v>
      </c>
      <c r="F836" t="s">
        <v>13</v>
      </c>
      <c r="G836">
        <v>4</v>
      </c>
      <c r="H836">
        <v>50</v>
      </c>
      <c r="I836">
        <v>200</v>
      </c>
    </row>
    <row r="837" spans="1:9" x14ac:dyDescent="0.25">
      <c r="A837">
        <v>836</v>
      </c>
      <c r="B837" s="1">
        <v>45963</v>
      </c>
      <c r="C837" t="s">
        <v>236</v>
      </c>
      <c r="D837" t="s">
        <v>12</v>
      </c>
      <c r="E837">
        <v>25</v>
      </c>
      <c r="F837" t="s">
        <v>13</v>
      </c>
      <c r="G837">
        <v>1</v>
      </c>
      <c r="H837">
        <v>50</v>
      </c>
      <c r="I837">
        <v>50</v>
      </c>
    </row>
    <row r="838" spans="1:9" x14ac:dyDescent="0.25">
      <c r="A838">
        <v>837</v>
      </c>
      <c r="B838" s="1">
        <v>45963</v>
      </c>
      <c r="C838" t="s">
        <v>238</v>
      </c>
      <c r="D838" t="s">
        <v>12</v>
      </c>
      <c r="E838">
        <v>61</v>
      </c>
      <c r="F838" t="s">
        <v>10</v>
      </c>
      <c r="G838">
        <v>3</v>
      </c>
      <c r="H838">
        <v>30</v>
      </c>
      <c r="I838">
        <v>90</v>
      </c>
    </row>
    <row r="839" spans="1:9" x14ac:dyDescent="0.25">
      <c r="A839">
        <v>838</v>
      </c>
      <c r="B839" s="1">
        <v>45963</v>
      </c>
      <c r="C839" t="s">
        <v>243</v>
      </c>
      <c r="D839" t="s">
        <v>12</v>
      </c>
      <c r="E839">
        <v>23</v>
      </c>
      <c r="F839" t="s">
        <v>15</v>
      </c>
      <c r="G839">
        <v>2</v>
      </c>
      <c r="H839">
        <v>300</v>
      </c>
      <c r="I839">
        <v>600</v>
      </c>
    </row>
    <row r="840" spans="1:9" x14ac:dyDescent="0.25">
      <c r="A840">
        <v>839</v>
      </c>
      <c r="B840" s="1">
        <v>45963</v>
      </c>
      <c r="C840" t="s">
        <v>248</v>
      </c>
      <c r="D840" t="s">
        <v>12</v>
      </c>
      <c r="E840">
        <v>54</v>
      </c>
      <c r="F840" t="s">
        <v>15</v>
      </c>
      <c r="G840">
        <v>4</v>
      </c>
      <c r="H840">
        <v>300</v>
      </c>
      <c r="I840">
        <v>1200</v>
      </c>
    </row>
    <row r="841" spans="1:9" x14ac:dyDescent="0.25">
      <c r="A841">
        <v>840</v>
      </c>
      <c r="B841" s="1">
        <v>45964</v>
      </c>
      <c r="C841" t="s">
        <v>254</v>
      </c>
      <c r="D841" t="s">
        <v>9</v>
      </c>
      <c r="E841">
        <v>21</v>
      </c>
      <c r="F841" t="s">
        <v>13</v>
      </c>
      <c r="G841">
        <v>2</v>
      </c>
      <c r="H841">
        <v>25</v>
      </c>
      <c r="I841">
        <v>50</v>
      </c>
    </row>
    <row r="842" spans="1:9" x14ac:dyDescent="0.25">
      <c r="A842">
        <v>841</v>
      </c>
      <c r="B842" s="1">
        <v>45965</v>
      </c>
      <c r="C842" t="s">
        <v>257</v>
      </c>
      <c r="D842" t="s">
        <v>9</v>
      </c>
      <c r="E842">
        <v>47</v>
      </c>
      <c r="F842" t="s">
        <v>15</v>
      </c>
      <c r="G842">
        <v>4</v>
      </c>
      <c r="H842">
        <v>25</v>
      </c>
      <c r="I842">
        <v>100</v>
      </c>
    </row>
    <row r="843" spans="1:9" x14ac:dyDescent="0.25">
      <c r="A843">
        <v>842</v>
      </c>
      <c r="B843" s="1">
        <v>45966</v>
      </c>
      <c r="C843" t="s">
        <v>260</v>
      </c>
      <c r="D843" t="s">
        <v>9</v>
      </c>
      <c r="E843">
        <v>26</v>
      </c>
      <c r="F843" t="s">
        <v>13</v>
      </c>
      <c r="G843">
        <v>2</v>
      </c>
      <c r="H843">
        <v>300</v>
      </c>
      <c r="I843">
        <v>600</v>
      </c>
    </row>
    <row r="844" spans="1:9" x14ac:dyDescent="0.25">
      <c r="A844">
        <v>843</v>
      </c>
      <c r="B844" s="1">
        <v>45966</v>
      </c>
      <c r="C844" t="s">
        <v>261</v>
      </c>
      <c r="D844" t="s">
        <v>9</v>
      </c>
      <c r="E844">
        <v>20</v>
      </c>
      <c r="F844" t="s">
        <v>10</v>
      </c>
      <c r="G844">
        <v>3</v>
      </c>
      <c r="H844">
        <v>500</v>
      </c>
      <c r="I844">
        <v>1500</v>
      </c>
    </row>
    <row r="845" spans="1:9" x14ac:dyDescent="0.25">
      <c r="A845">
        <v>844</v>
      </c>
      <c r="B845" s="1">
        <v>45967</v>
      </c>
      <c r="C845" t="s">
        <v>265</v>
      </c>
      <c r="D845" t="s">
        <v>12</v>
      </c>
      <c r="E845">
        <v>53</v>
      </c>
      <c r="F845" t="s">
        <v>13</v>
      </c>
      <c r="G845">
        <v>3</v>
      </c>
      <c r="H845">
        <v>50</v>
      </c>
      <c r="I845">
        <v>150</v>
      </c>
    </row>
    <row r="846" spans="1:9" x14ac:dyDescent="0.25">
      <c r="A846">
        <v>845</v>
      </c>
      <c r="B846" s="1">
        <v>45967</v>
      </c>
      <c r="C846" t="s">
        <v>267</v>
      </c>
      <c r="D846" t="s">
        <v>9</v>
      </c>
      <c r="E846">
        <v>48</v>
      </c>
      <c r="F846" t="s">
        <v>13</v>
      </c>
      <c r="G846">
        <v>1</v>
      </c>
      <c r="H846">
        <v>500</v>
      </c>
      <c r="I846">
        <v>500</v>
      </c>
    </row>
    <row r="847" spans="1:9" x14ac:dyDescent="0.25">
      <c r="A847">
        <v>846</v>
      </c>
      <c r="B847" s="1">
        <v>45968</v>
      </c>
      <c r="C847" t="s">
        <v>268</v>
      </c>
      <c r="D847" t="s">
        <v>9</v>
      </c>
      <c r="E847">
        <v>23</v>
      </c>
      <c r="F847" t="s">
        <v>10</v>
      </c>
      <c r="G847">
        <v>1</v>
      </c>
      <c r="H847">
        <v>50</v>
      </c>
      <c r="I847">
        <v>50</v>
      </c>
    </row>
    <row r="848" spans="1:9" x14ac:dyDescent="0.25">
      <c r="A848">
        <v>847</v>
      </c>
      <c r="B848" s="1">
        <v>45968</v>
      </c>
      <c r="C848" t="s">
        <v>270</v>
      </c>
      <c r="D848" t="s">
        <v>12</v>
      </c>
      <c r="E848">
        <v>37</v>
      </c>
      <c r="F848" t="s">
        <v>15</v>
      </c>
      <c r="G848">
        <v>4</v>
      </c>
      <c r="H848">
        <v>300</v>
      </c>
      <c r="I848">
        <v>1200</v>
      </c>
    </row>
    <row r="849" spans="1:9" x14ac:dyDescent="0.25">
      <c r="A849">
        <v>848</v>
      </c>
      <c r="B849" s="1">
        <v>45968</v>
      </c>
      <c r="C849" t="s">
        <v>271</v>
      </c>
      <c r="D849" t="s">
        <v>12</v>
      </c>
      <c r="E849">
        <v>45</v>
      </c>
      <c r="F849" t="s">
        <v>13</v>
      </c>
      <c r="G849">
        <v>3</v>
      </c>
      <c r="H849">
        <v>25</v>
      </c>
      <c r="I849">
        <v>75</v>
      </c>
    </row>
    <row r="850" spans="1:9" x14ac:dyDescent="0.25">
      <c r="A850">
        <v>849</v>
      </c>
      <c r="B850" s="1">
        <v>45968</v>
      </c>
      <c r="C850" t="s">
        <v>273</v>
      </c>
      <c r="D850" t="s">
        <v>9</v>
      </c>
      <c r="E850">
        <v>21</v>
      </c>
      <c r="F850" t="s">
        <v>13</v>
      </c>
      <c r="G850">
        <v>2</v>
      </c>
      <c r="H850">
        <v>25</v>
      </c>
      <c r="I850">
        <v>50</v>
      </c>
    </row>
    <row r="851" spans="1:9" x14ac:dyDescent="0.25">
      <c r="A851">
        <v>850</v>
      </c>
      <c r="B851" s="1">
        <v>45968</v>
      </c>
      <c r="C851" t="s">
        <v>276</v>
      </c>
      <c r="D851" t="s">
        <v>9</v>
      </c>
      <c r="E851">
        <v>47</v>
      </c>
      <c r="F851" t="s">
        <v>10</v>
      </c>
      <c r="G851">
        <v>2</v>
      </c>
      <c r="H851">
        <v>500</v>
      </c>
      <c r="I851">
        <v>1000</v>
      </c>
    </row>
    <row r="852" spans="1:9" x14ac:dyDescent="0.25">
      <c r="A852">
        <v>851</v>
      </c>
      <c r="B852" s="1">
        <v>45968</v>
      </c>
      <c r="C852" t="s">
        <v>277</v>
      </c>
      <c r="D852" t="s">
        <v>9</v>
      </c>
      <c r="E852">
        <v>55</v>
      </c>
      <c r="F852" t="s">
        <v>15</v>
      </c>
      <c r="G852">
        <v>2</v>
      </c>
      <c r="H852">
        <v>25</v>
      </c>
      <c r="I852">
        <v>50</v>
      </c>
    </row>
    <row r="853" spans="1:9" x14ac:dyDescent="0.25">
      <c r="A853">
        <v>852</v>
      </c>
      <c r="B853" s="1">
        <v>45969</v>
      </c>
      <c r="C853" t="s">
        <v>281</v>
      </c>
      <c r="D853" t="s">
        <v>9</v>
      </c>
      <c r="E853">
        <v>25</v>
      </c>
      <c r="F853" t="s">
        <v>13</v>
      </c>
      <c r="G853">
        <v>1</v>
      </c>
      <c r="H853">
        <v>300</v>
      </c>
      <c r="I853">
        <v>300</v>
      </c>
    </row>
    <row r="854" spans="1:9" x14ac:dyDescent="0.25">
      <c r="A854">
        <v>853</v>
      </c>
      <c r="B854" s="1">
        <v>45969</v>
      </c>
      <c r="C854" t="s">
        <v>286</v>
      </c>
      <c r="D854" t="s">
        <v>12</v>
      </c>
      <c r="E854">
        <v>23</v>
      </c>
      <c r="F854" t="s">
        <v>10</v>
      </c>
      <c r="G854">
        <v>2</v>
      </c>
      <c r="H854">
        <v>500</v>
      </c>
      <c r="I854">
        <v>1000</v>
      </c>
    </row>
    <row r="855" spans="1:9" x14ac:dyDescent="0.25">
      <c r="A855">
        <v>854</v>
      </c>
      <c r="B855" s="1">
        <v>45970</v>
      </c>
      <c r="C855" t="s">
        <v>287</v>
      </c>
      <c r="D855" t="s">
        <v>9</v>
      </c>
      <c r="E855">
        <v>43</v>
      </c>
      <c r="F855" t="s">
        <v>13</v>
      </c>
      <c r="G855">
        <v>1</v>
      </c>
      <c r="H855">
        <v>50</v>
      </c>
      <c r="I855">
        <v>50</v>
      </c>
    </row>
    <row r="856" spans="1:9" x14ac:dyDescent="0.25">
      <c r="A856">
        <v>855</v>
      </c>
      <c r="B856" s="1">
        <v>45970</v>
      </c>
      <c r="C856" t="s">
        <v>289</v>
      </c>
      <c r="D856" t="s">
        <v>9</v>
      </c>
      <c r="E856">
        <v>36</v>
      </c>
      <c r="F856" t="s">
        <v>10</v>
      </c>
      <c r="G856">
        <v>1</v>
      </c>
      <c r="H856">
        <v>25</v>
      </c>
      <c r="I856">
        <v>25</v>
      </c>
    </row>
    <row r="857" spans="1:9" x14ac:dyDescent="0.25">
      <c r="A857">
        <v>856</v>
      </c>
      <c r="B857" s="1">
        <v>45970</v>
      </c>
      <c r="C857" t="s">
        <v>290</v>
      </c>
      <c r="D857" t="s">
        <v>12</v>
      </c>
      <c r="E857">
        <v>37</v>
      </c>
      <c r="F857" t="s">
        <v>15</v>
      </c>
      <c r="G857">
        <v>4</v>
      </c>
      <c r="H857">
        <v>30</v>
      </c>
      <c r="I857">
        <v>120</v>
      </c>
    </row>
    <row r="858" spans="1:9" x14ac:dyDescent="0.25">
      <c r="A858">
        <v>857</v>
      </c>
      <c r="B858" s="1">
        <v>45971</v>
      </c>
      <c r="C858" t="s">
        <v>291</v>
      </c>
      <c r="D858" t="s">
        <v>9</v>
      </c>
      <c r="E858">
        <v>50</v>
      </c>
      <c r="F858" t="s">
        <v>15</v>
      </c>
      <c r="G858">
        <v>2</v>
      </c>
      <c r="H858">
        <v>25</v>
      </c>
      <c r="I858">
        <v>50</v>
      </c>
    </row>
    <row r="859" spans="1:9" x14ac:dyDescent="0.25">
      <c r="A859">
        <v>858</v>
      </c>
      <c r="B859" s="1">
        <v>45971</v>
      </c>
      <c r="C859" t="s">
        <v>623</v>
      </c>
      <c r="D859" t="s">
        <v>9</v>
      </c>
      <c r="E859">
        <v>51</v>
      </c>
      <c r="F859" t="s">
        <v>15</v>
      </c>
      <c r="G859">
        <v>2</v>
      </c>
      <c r="H859">
        <v>50</v>
      </c>
      <c r="I859">
        <v>100</v>
      </c>
    </row>
    <row r="860" spans="1:9" x14ac:dyDescent="0.25">
      <c r="A860">
        <v>859</v>
      </c>
      <c r="B860" s="1">
        <v>45973</v>
      </c>
      <c r="C860" t="s">
        <v>624</v>
      </c>
      <c r="D860" t="s">
        <v>12</v>
      </c>
      <c r="E860">
        <v>61</v>
      </c>
      <c r="F860" t="s">
        <v>15</v>
      </c>
      <c r="G860">
        <v>3</v>
      </c>
      <c r="H860">
        <v>500</v>
      </c>
      <c r="I860">
        <v>1500</v>
      </c>
    </row>
    <row r="861" spans="1:9" x14ac:dyDescent="0.25">
      <c r="A861">
        <v>860</v>
      </c>
      <c r="B861" s="1">
        <v>45973</v>
      </c>
      <c r="C861" t="s">
        <v>625</v>
      </c>
      <c r="D861" t="s">
        <v>12</v>
      </c>
      <c r="E861">
        <v>52</v>
      </c>
      <c r="F861" t="s">
        <v>13</v>
      </c>
      <c r="G861">
        <v>4</v>
      </c>
      <c r="H861">
        <v>50</v>
      </c>
      <c r="I861">
        <v>200</v>
      </c>
    </row>
    <row r="862" spans="1:9" x14ac:dyDescent="0.25">
      <c r="A862">
        <v>861</v>
      </c>
      <c r="B862" s="1">
        <v>45974</v>
      </c>
      <c r="C862" t="s">
        <v>626</v>
      </c>
      <c r="D862" t="s">
        <v>12</v>
      </c>
      <c r="E862">
        <v>39</v>
      </c>
      <c r="F862" t="s">
        <v>13</v>
      </c>
      <c r="G862">
        <v>3</v>
      </c>
      <c r="H862">
        <v>30</v>
      </c>
      <c r="I862">
        <v>90</v>
      </c>
    </row>
    <row r="863" spans="1:9" x14ac:dyDescent="0.25">
      <c r="A863">
        <v>862</v>
      </c>
      <c r="B863" s="1">
        <v>45974</v>
      </c>
      <c r="C863" t="s">
        <v>627</v>
      </c>
      <c r="D863" t="s">
        <v>12</v>
      </c>
      <c r="E863">
        <v>61</v>
      </c>
      <c r="F863" t="s">
        <v>15</v>
      </c>
      <c r="G863">
        <v>4</v>
      </c>
      <c r="H863">
        <v>300</v>
      </c>
      <c r="I863">
        <v>1200</v>
      </c>
    </row>
    <row r="864" spans="1:9" x14ac:dyDescent="0.25">
      <c r="A864">
        <v>863</v>
      </c>
      <c r="B864" s="1">
        <v>45975</v>
      </c>
      <c r="C864" t="s">
        <v>628</v>
      </c>
      <c r="D864" t="s">
        <v>9</v>
      </c>
      <c r="E864">
        <v>41</v>
      </c>
      <c r="F864" t="s">
        <v>15</v>
      </c>
      <c r="G864">
        <v>2</v>
      </c>
      <c r="H864">
        <v>25</v>
      </c>
      <c r="I864">
        <v>50</v>
      </c>
    </row>
    <row r="865" spans="1:9" x14ac:dyDescent="0.25">
      <c r="A865">
        <v>864</v>
      </c>
      <c r="B865" s="1">
        <v>45975</v>
      </c>
      <c r="C865" t="s">
        <v>629</v>
      </c>
      <c r="D865" t="s">
        <v>9</v>
      </c>
      <c r="E865">
        <v>34</v>
      </c>
      <c r="F865" t="s">
        <v>15</v>
      </c>
      <c r="G865">
        <v>1</v>
      </c>
      <c r="H865">
        <v>500</v>
      </c>
      <c r="I865">
        <v>500</v>
      </c>
    </row>
    <row r="866" spans="1:9" x14ac:dyDescent="0.25">
      <c r="A866">
        <v>865</v>
      </c>
      <c r="B866" s="1">
        <v>45975</v>
      </c>
      <c r="C866" t="s">
        <v>630</v>
      </c>
      <c r="D866" t="s">
        <v>12</v>
      </c>
      <c r="E866">
        <v>27</v>
      </c>
      <c r="F866" t="s">
        <v>13</v>
      </c>
      <c r="G866">
        <v>1</v>
      </c>
      <c r="H866">
        <v>300</v>
      </c>
      <c r="I866">
        <v>300</v>
      </c>
    </row>
    <row r="867" spans="1:9" x14ac:dyDescent="0.25">
      <c r="A867">
        <v>866</v>
      </c>
      <c r="B867" s="1">
        <v>45975</v>
      </c>
      <c r="C867" t="s">
        <v>631</v>
      </c>
      <c r="D867" t="s">
        <v>9</v>
      </c>
      <c r="E867">
        <v>47</v>
      </c>
      <c r="F867" t="s">
        <v>15</v>
      </c>
      <c r="G867">
        <v>1</v>
      </c>
      <c r="H867">
        <v>50</v>
      </c>
      <c r="I867">
        <v>50</v>
      </c>
    </row>
    <row r="868" spans="1:9" x14ac:dyDescent="0.25">
      <c r="A868">
        <v>867</v>
      </c>
      <c r="B868" s="1">
        <v>45976</v>
      </c>
      <c r="C868" t="s">
        <v>632</v>
      </c>
      <c r="D868" t="s">
        <v>9</v>
      </c>
      <c r="E868">
        <v>63</v>
      </c>
      <c r="F868" t="s">
        <v>15</v>
      </c>
      <c r="G868">
        <v>1</v>
      </c>
      <c r="H868">
        <v>500</v>
      </c>
      <c r="I868">
        <v>500</v>
      </c>
    </row>
    <row r="869" spans="1:9" x14ac:dyDescent="0.25">
      <c r="A869">
        <v>868</v>
      </c>
      <c r="B869" s="1">
        <v>45976</v>
      </c>
      <c r="C869" t="s">
        <v>633</v>
      </c>
      <c r="D869" t="s">
        <v>12</v>
      </c>
      <c r="E869">
        <v>40</v>
      </c>
      <c r="F869" t="s">
        <v>15</v>
      </c>
      <c r="G869">
        <v>1</v>
      </c>
      <c r="H869">
        <v>300</v>
      </c>
      <c r="I869">
        <v>300</v>
      </c>
    </row>
    <row r="870" spans="1:9" x14ac:dyDescent="0.25">
      <c r="A870">
        <v>869</v>
      </c>
      <c r="B870" s="1">
        <v>45976</v>
      </c>
      <c r="C870" t="s">
        <v>634</v>
      </c>
      <c r="D870" t="s">
        <v>12</v>
      </c>
      <c r="E870">
        <v>49</v>
      </c>
      <c r="F870" t="s">
        <v>10</v>
      </c>
      <c r="G870">
        <v>3</v>
      </c>
      <c r="H870">
        <v>500</v>
      </c>
      <c r="I870">
        <v>1500</v>
      </c>
    </row>
    <row r="871" spans="1:9" x14ac:dyDescent="0.25">
      <c r="A871">
        <v>870</v>
      </c>
      <c r="B871" s="1">
        <v>45977</v>
      </c>
      <c r="C871" t="s">
        <v>635</v>
      </c>
      <c r="D871" t="s">
        <v>9</v>
      </c>
      <c r="E871">
        <v>34</v>
      </c>
      <c r="F871" t="s">
        <v>15</v>
      </c>
      <c r="G871">
        <v>4</v>
      </c>
      <c r="H871">
        <v>30</v>
      </c>
      <c r="I871">
        <v>120</v>
      </c>
    </row>
    <row r="872" spans="1:9" x14ac:dyDescent="0.25">
      <c r="A872">
        <v>871</v>
      </c>
      <c r="B872" s="1">
        <v>45978</v>
      </c>
      <c r="C872" t="s">
        <v>636</v>
      </c>
      <c r="D872" t="s">
        <v>12</v>
      </c>
      <c r="E872">
        <v>34</v>
      </c>
      <c r="F872" t="s">
        <v>10</v>
      </c>
      <c r="G872">
        <v>2</v>
      </c>
      <c r="H872">
        <v>30</v>
      </c>
      <c r="I872">
        <v>60</v>
      </c>
    </row>
    <row r="873" spans="1:9" x14ac:dyDescent="0.25">
      <c r="A873">
        <v>872</v>
      </c>
      <c r="B873" s="1">
        <v>45978</v>
      </c>
      <c r="C873" t="s">
        <v>637</v>
      </c>
      <c r="D873" t="s">
        <v>9</v>
      </c>
      <c r="E873">
        <v>31</v>
      </c>
      <c r="F873" t="s">
        <v>10</v>
      </c>
      <c r="G873">
        <v>3</v>
      </c>
      <c r="H873">
        <v>25</v>
      </c>
      <c r="I873">
        <v>75</v>
      </c>
    </row>
    <row r="874" spans="1:9" x14ac:dyDescent="0.25">
      <c r="A874">
        <v>873</v>
      </c>
      <c r="B874" s="1">
        <v>45978</v>
      </c>
      <c r="C874" t="s">
        <v>638</v>
      </c>
      <c r="D874" t="s">
        <v>12</v>
      </c>
      <c r="E874">
        <v>26</v>
      </c>
      <c r="F874" t="s">
        <v>15</v>
      </c>
      <c r="G874">
        <v>4</v>
      </c>
      <c r="H874">
        <v>25</v>
      </c>
      <c r="I874">
        <v>100</v>
      </c>
    </row>
    <row r="875" spans="1:9" x14ac:dyDescent="0.25">
      <c r="A875">
        <v>874</v>
      </c>
      <c r="B875" s="1">
        <v>45978</v>
      </c>
      <c r="C875" t="s">
        <v>14</v>
      </c>
      <c r="D875" t="s">
        <v>9</v>
      </c>
      <c r="E875">
        <v>50</v>
      </c>
      <c r="F875" t="s">
        <v>10</v>
      </c>
      <c r="G875">
        <v>1</v>
      </c>
      <c r="H875">
        <v>30</v>
      </c>
      <c r="I875">
        <v>30</v>
      </c>
    </row>
    <row r="876" spans="1:9" x14ac:dyDescent="0.25">
      <c r="A876">
        <v>875</v>
      </c>
      <c r="B876" s="1">
        <v>45979</v>
      </c>
      <c r="C876" t="s">
        <v>20</v>
      </c>
      <c r="D876" t="s">
        <v>9</v>
      </c>
      <c r="E876">
        <v>30</v>
      </c>
      <c r="F876" t="s">
        <v>15</v>
      </c>
      <c r="G876">
        <v>4</v>
      </c>
      <c r="H876">
        <v>500</v>
      </c>
      <c r="I876">
        <v>2000</v>
      </c>
    </row>
    <row r="877" spans="1:9" x14ac:dyDescent="0.25">
      <c r="A877">
        <v>876</v>
      </c>
      <c r="B877" s="1">
        <v>45979</v>
      </c>
      <c r="C877" t="s">
        <v>21</v>
      </c>
      <c r="D877" t="s">
        <v>9</v>
      </c>
      <c r="E877">
        <v>63</v>
      </c>
      <c r="F877" t="s">
        <v>13</v>
      </c>
      <c r="G877">
        <v>4</v>
      </c>
      <c r="H877">
        <v>30</v>
      </c>
      <c r="I877">
        <v>120</v>
      </c>
    </row>
    <row r="878" spans="1:9" x14ac:dyDescent="0.25">
      <c r="A878">
        <v>877</v>
      </c>
      <c r="B878" s="1">
        <v>45979</v>
      </c>
      <c r="C878" t="s">
        <v>25</v>
      </c>
      <c r="D878" t="s">
        <v>9</v>
      </c>
      <c r="E878">
        <v>22</v>
      </c>
      <c r="F878" t="s">
        <v>13</v>
      </c>
      <c r="G878">
        <v>1</v>
      </c>
      <c r="H878">
        <v>25</v>
      </c>
      <c r="I878">
        <v>25</v>
      </c>
    </row>
    <row r="879" spans="1:9" x14ac:dyDescent="0.25">
      <c r="A879">
        <v>878</v>
      </c>
      <c r="B879" s="1">
        <v>45980</v>
      </c>
      <c r="C879" t="s">
        <v>27</v>
      </c>
      <c r="D879" t="s">
        <v>12</v>
      </c>
      <c r="E879">
        <v>42</v>
      </c>
      <c r="F879" t="s">
        <v>13</v>
      </c>
      <c r="G879">
        <v>3</v>
      </c>
      <c r="H879">
        <v>30</v>
      </c>
      <c r="I879">
        <v>90</v>
      </c>
    </row>
    <row r="880" spans="1:9" x14ac:dyDescent="0.25">
      <c r="A880">
        <v>879</v>
      </c>
      <c r="B880" s="1">
        <v>45980</v>
      </c>
      <c r="C880" t="s">
        <v>30</v>
      </c>
      <c r="D880" t="s">
        <v>12</v>
      </c>
      <c r="E880">
        <v>47</v>
      </c>
      <c r="F880" t="s">
        <v>13</v>
      </c>
      <c r="G880">
        <v>1</v>
      </c>
      <c r="H880">
        <v>30</v>
      </c>
      <c r="I880">
        <v>30</v>
      </c>
    </row>
    <row r="881" spans="1:9" x14ac:dyDescent="0.25">
      <c r="A881">
        <v>880</v>
      </c>
      <c r="B881" s="1">
        <v>45981</v>
      </c>
      <c r="C881" t="s">
        <v>38</v>
      </c>
      <c r="D881" t="s">
        <v>12</v>
      </c>
      <c r="E881">
        <v>28</v>
      </c>
      <c r="F881" t="s">
        <v>10</v>
      </c>
      <c r="G881">
        <v>2</v>
      </c>
      <c r="H881">
        <v>500</v>
      </c>
      <c r="I881">
        <v>1000</v>
      </c>
    </row>
    <row r="882" spans="1:9" x14ac:dyDescent="0.25">
      <c r="A882">
        <v>881</v>
      </c>
      <c r="B882" s="1">
        <v>45982</v>
      </c>
      <c r="C882" t="s">
        <v>41</v>
      </c>
      <c r="D882" t="s">
        <v>12</v>
      </c>
      <c r="E882">
        <v>42</v>
      </c>
      <c r="F882" t="s">
        <v>15</v>
      </c>
      <c r="G882">
        <v>1</v>
      </c>
      <c r="H882">
        <v>300</v>
      </c>
      <c r="I882">
        <v>300</v>
      </c>
    </row>
    <row r="883" spans="1:9" x14ac:dyDescent="0.25">
      <c r="A883">
        <v>882</v>
      </c>
      <c r="B883" s="1">
        <v>45982</v>
      </c>
      <c r="C883" t="s">
        <v>43</v>
      </c>
      <c r="D883" t="s">
        <v>9</v>
      </c>
      <c r="E883">
        <v>44</v>
      </c>
      <c r="F883" t="s">
        <v>15</v>
      </c>
      <c r="G883">
        <v>2</v>
      </c>
      <c r="H883">
        <v>25</v>
      </c>
      <c r="I883">
        <v>50</v>
      </c>
    </row>
    <row r="884" spans="1:9" x14ac:dyDescent="0.25">
      <c r="A884">
        <v>883</v>
      </c>
      <c r="B884" s="1">
        <v>45982</v>
      </c>
      <c r="C884" t="s">
        <v>45</v>
      </c>
      <c r="D884" t="s">
        <v>12</v>
      </c>
      <c r="E884">
        <v>50</v>
      </c>
      <c r="F884" t="s">
        <v>15</v>
      </c>
      <c r="G884">
        <v>1</v>
      </c>
      <c r="H884">
        <v>500</v>
      </c>
      <c r="I884">
        <v>500</v>
      </c>
    </row>
    <row r="885" spans="1:9" x14ac:dyDescent="0.25">
      <c r="A885">
        <v>884</v>
      </c>
      <c r="B885" s="1">
        <v>45983</v>
      </c>
      <c r="C885" t="s">
        <v>57</v>
      </c>
      <c r="D885" t="s">
        <v>12</v>
      </c>
      <c r="E885">
        <v>55</v>
      </c>
      <c r="F885" t="s">
        <v>13</v>
      </c>
      <c r="G885">
        <v>2</v>
      </c>
      <c r="H885">
        <v>30</v>
      </c>
      <c r="I885">
        <v>60</v>
      </c>
    </row>
    <row r="886" spans="1:9" x14ac:dyDescent="0.25">
      <c r="A886">
        <v>885</v>
      </c>
      <c r="B886" s="1">
        <v>45983</v>
      </c>
      <c r="C886" t="s">
        <v>58</v>
      </c>
      <c r="D886" t="s">
        <v>12</v>
      </c>
      <c r="E886">
        <v>20</v>
      </c>
      <c r="F886" t="s">
        <v>13</v>
      </c>
      <c r="G886">
        <v>4</v>
      </c>
      <c r="H886">
        <v>30</v>
      </c>
      <c r="I886">
        <v>120</v>
      </c>
    </row>
    <row r="887" spans="1:9" x14ac:dyDescent="0.25">
      <c r="A887">
        <v>886</v>
      </c>
      <c r="B887" s="1">
        <v>45983</v>
      </c>
      <c r="C887" t="s">
        <v>60</v>
      </c>
      <c r="D887" t="s">
        <v>9</v>
      </c>
      <c r="E887">
        <v>54</v>
      </c>
      <c r="F887" t="s">
        <v>15</v>
      </c>
      <c r="G887">
        <v>3</v>
      </c>
      <c r="H887">
        <v>300</v>
      </c>
      <c r="I887">
        <v>900</v>
      </c>
    </row>
    <row r="888" spans="1:9" x14ac:dyDescent="0.25">
      <c r="A888">
        <v>887</v>
      </c>
      <c r="B888" s="1">
        <v>45984</v>
      </c>
      <c r="C888" t="s">
        <v>61</v>
      </c>
      <c r="D888" t="s">
        <v>12</v>
      </c>
      <c r="E888">
        <v>54</v>
      </c>
      <c r="F888" t="s">
        <v>13</v>
      </c>
      <c r="G888">
        <v>4</v>
      </c>
      <c r="H888">
        <v>25</v>
      </c>
      <c r="I888">
        <v>100</v>
      </c>
    </row>
    <row r="889" spans="1:9" x14ac:dyDescent="0.25">
      <c r="A889">
        <v>888</v>
      </c>
      <c r="B889" s="1">
        <v>45984</v>
      </c>
      <c r="C889" t="s">
        <v>65</v>
      </c>
      <c r="D889" t="s">
        <v>9</v>
      </c>
      <c r="E889">
        <v>34</v>
      </c>
      <c r="F889" t="s">
        <v>15</v>
      </c>
      <c r="G889">
        <v>4</v>
      </c>
      <c r="H889">
        <v>25</v>
      </c>
      <c r="I889">
        <v>100</v>
      </c>
    </row>
    <row r="890" spans="1:9" x14ac:dyDescent="0.25">
      <c r="A890">
        <v>889</v>
      </c>
      <c r="B890" s="1">
        <v>45984</v>
      </c>
      <c r="C890" t="s">
        <v>66</v>
      </c>
      <c r="D890" t="s">
        <v>12</v>
      </c>
      <c r="E890">
        <v>38</v>
      </c>
      <c r="F890" t="s">
        <v>15</v>
      </c>
      <c r="G890">
        <v>1</v>
      </c>
      <c r="H890">
        <v>50</v>
      </c>
      <c r="I890">
        <v>50</v>
      </c>
    </row>
    <row r="891" spans="1:9" x14ac:dyDescent="0.25">
      <c r="A891">
        <v>890</v>
      </c>
      <c r="B891" s="1">
        <v>45985</v>
      </c>
      <c r="C891" t="s">
        <v>75</v>
      </c>
      <c r="D891" t="s">
        <v>9</v>
      </c>
      <c r="E891">
        <v>57</v>
      </c>
      <c r="F891" t="s">
        <v>15</v>
      </c>
      <c r="G891">
        <v>2</v>
      </c>
      <c r="H891">
        <v>25</v>
      </c>
      <c r="I891">
        <v>50</v>
      </c>
    </row>
    <row r="892" spans="1:9" x14ac:dyDescent="0.25">
      <c r="A892">
        <v>891</v>
      </c>
      <c r="B892" s="1">
        <v>45985</v>
      </c>
      <c r="C892" t="s">
        <v>77</v>
      </c>
      <c r="D892" t="s">
        <v>9</v>
      </c>
      <c r="E892">
        <v>51</v>
      </c>
      <c r="F892" t="s">
        <v>15</v>
      </c>
      <c r="G892">
        <v>3</v>
      </c>
      <c r="H892">
        <v>300</v>
      </c>
      <c r="I892">
        <v>900</v>
      </c>
    </row>
    <row r="893" spans="1:9" x14ac:dyDescent="0.25">
      <c r="A893">
        <v>892</v>
      </c>
      <c r="B893" s="1">
        <v>45985</v>
      </c>
      <c r="C893" t="s">
        <v>78</v>
      </c>
      <c r="D893" t="s">
        <v>12</v>
      </c>
      <c r="E893">
        <v>45</v>
      </c>
      <c r="F893" t="s">
        <v>15</v>
      </c>
      <c r="G893">
        <v>1</v>
      </c>
      <c r="H893">
        <v>50</v>
      </c>
      <c r="I893">
        <v>50</v>
      </c>
    </row>
    <row r="894" spans="1:9" x14ac:dyDescent="0.25">
      <c r="A894">
        <v>893</v>
      </c>
      <c r="B894" s="1">
        <v>45986</v>
      </c>
      <c r="C894" t="s">
        <v>80</v>
      </c>
      <c r="D894" t="s">
        <v>9</v>
      </c>
      <c r="E894">
        <v>25</v>
      </c>
      <c r="F894" t="s">
        <v>15</v>
      </c>
      <c r="G894">
        <v>1</v>
      </c>
      <c r="H894">
        <v>50</v>
      </c>
      <c r="I894">
        <v>50</v>
      </c>
    </row>
    <row r="895" spans="1:9" x14ac:dyDescent="0.25">
      <c r="A895">
        <v>894</v>
      </c>
      <c r="B895" s="1">
        <v>45986</v>
      </c>
      <c r="C895" t="s">
        <v>84</v>
      </c>
      <c r="D895" t="s">
        <v>12</v>
      </c>
      <c r="E895">
        <v>20</v>
      </c>
      <c r="F895" t="s">
        <v>15</v>
      </c>
      <c r="G895">
        <v>1</v>
      </c>
      <c r="H895">
        <v>30</v>
      </c>
      <c r="I895">
        <v>30</v>
      </c>
    </row>
    <row r="896" spans="1:9" x14ac:dyDescent="0.25">
      <c r="A896">
        <v>895</v>
      </c>
      <c r="B896" s="1">
        <v>45987</v>
      </c>
      <c r="C896" t="s">
        <v>85</v>
      </c>
      <c r="D896" t="s">
        <v>9</v>
      </c>
      <c r="E896">
        <v>29</v>
      </c>
      <c r="F896" t="s">
        <v>13</v>
      </c>
      <c r="G896">
        <v>4</v>
      </c>
      <c r="H896">
        <v>30</v>
      </c>
      <c r="I896">
        <v>120</v>
      </c>
    </row>
    <row r="897" spans="1:9" x14ac:dyDescent="0.25">
      <c r="A897">
        <v>896</v>
      </c>
      <c r="B897" s="1">
        <v>45987</v>
      </c>
      <c r="C897" t="s">
        <v>88</v>
      </c>
      <c r="D897" t="s">
        <v>12</v>
      </c>
      <c r="E897">
        <v>22</v>
      </c>
      <c r="F897" t="s">
        <v>15</v>
      </c>
      <c r="G897">
        <v>2</v>
      </c>
      <c r="H897">
        <v>25</v>
      </c>
      <c r="I897">
        <v>50</v>
      </c>
    </row>
    <row r="898" spans="1:9" x14ac:dyDescent="0.25">
      <c r="A898">
        <v>897</v>
      </c>
      <c r="B898" s="1">
        <v>45988</v>
      </c>
      <c r="C898" t="s">
        <v>93</v>
      </c>
      <c r="D898" t="s">
        <v>9</v>
      </c>
      <c r="E898">
        <v>40</v>
      </c>
      <c r="F898" t="s">
        <v>15</v>
      </c>
      <c r="G898">
        <v>2</v>
      </c>
      <c r="H898">
        <v>50</v>
      </c>
      <c r="I898">
        <v>100</v>
      </c>
    </row>
    <row r="899" spans="1:9" x14ac:dyDescent="0.25">
      <c r="A899">
        <v>898</v>
      </c>
      <c r="B899" s="1">
        <v>45988</v>
      </c>
      <c r="C899" t="s">
        <v>95</v>
      </c>
      <c r="D899" t="s">
        <v>9</v>
      </c>
      <c r="E899">
        <v>54</v>
      </c>
      <c r="F899" t="s">
        <v>13</v>
      </c>
      <c r="G899">
        <v>3</v>
      </c>
      <c r="H899">
        <v>30</v>
      </c>
      <c r="I899">
        <v>90</v>
      </c>
    </row>
    <row r="900" spans="1:9" x14ac:dyDescent="0.25">
      <c r="A900">
        <v>899</v>
      </c>
      <c r="B900" s="1">
        <v>45988</v>
      </c>
      <c r="C900" t="s">
        <v>96</v>
      </c>
      <c r="D900" t="s">
        <v>12</v>
      </c>
      <c r="E900">
        <v>38</v>
      </c>
      <c r="F900" t="s">
        <v>13</v>
      </c>
      <c r="G900">
        <v>2</v>
      </c>
      <c r="H900">
        <v>300</v>
      </c>
      <c r="I900">
        <v>600</v>
      </c>
    </row>
    <row r="901" spans="1:9" x14ac:dyDescent="0.25">
      <c r="A901">
        <v>900</v>
      </c>
      <c r="B901" s="1">
        <v>45989</v>
      </c>
      <c r="C901" t="s">
        <v>101</v>
      </c>
      <c r="D901" t="s">
        <v>12</v>
      </c>
      <c r="E901">
        <v>55</v>
      </c>
      <c r="F901" t="s">
        <v>13</v>
      </c>
      <c r="G901">
        <v>2</v>
      </c>
      <c r="H901">
        <v>30</v>
      </c>
      <c r="I901">
        <v>60</v>
      </c>
    </row>
    <row r="902" spans="1:9" x14ac:dyDescent="0.25">
      <c r="A902">
        <v>901</v>
      </c>
      <c r="B902" s="1">
        <v>45989</v>
      </c>
      <c r="C902" t="s">
        <v>102</v>
      </c>
      <c r="D902" t="s">
        <v>12</v>
      </c>
      <c r="E902">
        <v>51</v>
      </c>
      <c r="F902" t="s">
        <v>15</v>
      </c>
      <c r="G902">
        <v>1</v>
      </c>
      <c r="H902">
        <v>30</v>
      </c>
      <c r="I902">
        <v>30</v>
      </c>
    </row>
    <row r="903" spans="1:9" x14ac:dyDescent="0.25">
      <c r="A903">
        <v>902</v>
      </c>
      <c r="B903" s="1">
        <v>45990</v>
      </c>
      <c r="C903" t="s">
        <v>103</v>
      </c>
      <c r="D903" t="s">
        <v>12</v>
      </c>
      <c r="E903">
        <v>55</v>
      </c>
      <c r="F903" t="s">
        <v>10</v>
      </c>
      <c r="G903">
        <v>1</v>
      </c>
      <c r="H903">
        <v>50</v>
      </c>
      <c r="I903">
        <v>50</v>
      </c>
    </row>
    <row r="904" spans="1:9" x14ac:dyDescent="0.25">
      <c r="A904">
        <v>903</v>
      </c>
      <c r="B904" s="1">
        <v>45990</v>
      </c>
      <c r="C904" t="s">
        <v>104</v>
      </c>
      <c r="D904" t="s">
        <v>12</v>
      </c>
      <c r="E904">
        <v>51</v>
      </c>
      <c r="F904" t="s">
        <v>10</v>
      </c>
      <c r="G904">
        <v>4</v>
      </c>
      <c r="H904">
        <v>50</v>
      </c>
      <c r="I904">
        <v>200</v>
      </c>
    </row>
    <row r="905" spans="1:9" x14ac:dyDescent="0.25">
      <c r="A905">
        <v>904</v>
      </c>
      <c r="B905" s="1">
        <v>45990</v>
      </c>
      <c r="C905" t="s">
        <v>111</v>
      </c>
      <c r="D905" t="s">
        <v>12</v>
      </c>
      <c r="E905">
        <v>50</v>
      </c>
      <c r="F905" t="s">
        <v>13</v>
      </c>
      <c r="G905">
        <v>1</v>
      </c>
      <c r="H905">
        <v>500</v>
      </c>
      <c r="I905">
        <v>500</v>
      </c>
    </row>
    <row r="906" spans="1:9" x14ac:dyDescent="0.25">
      <c r="A906">
        <v>905</v>
      </c>
      <c r="B906" s="1">
        <v>45991</v>
      </c>
      <c r="C906" t="s">
        <v>112</v>
      </c>
      <c r="D906" t="s">
        <v>9</v>
      </c>
      <c r="E906">
        <v>41</v>
      </c>
      <c r="F906" t="s">
        <v>10</v>
      </c>
      <c r="G906">
        <v>1</v>
      </c>
      <c r="H906">
        <v>300</v>
      </c>
      <c r="I906">
        <v>300</v>
      </c>
    </row>
    <row r="907" spans="1:9" x14ac:dyDescent="0.25">
      <c r="A907">
        <v>906</v>
      </c>
      <c r="B907" s="1">
        <v>45991</v>
      </c>
      <c r="C907" t="s">
        <v>117</v>
      </c>
      <c r="D907" t="s">
        <v>12</v>
      </c>
      <c r="E907">
        <v>22</v>
      </c>
      <c r="F907" t="s">
        <v>13</v>
      </c>
      <c r="G907">
        <v>1</v>
      </c>
      <c r="H907">
        <v>50</v>
      </c>
      <c r="I907">
        <v>50</v>
      </c>
    </row>
    <row r="908" spans="1:9" x14ac:dyDescent="0.25">
      <c r="A908">
        <v>907</v>
      </c>
      <c r="B908" s="1">
        <v>45991</v>
      </c>
      <c r="C908" t="s">
        <v>121</v>
      </c>
      <c r="D908" t="s">
        <v>12</v>
      </c>
      <c r="E908">
        <v>34</v>
      </c>
      <c r="F908" t="s">
        <v>15</v>
      </c>
      <c r="G908">
        <v>1</v>
      </c>
      <c r="H908">
        <v>25</v>
      </c>
      <c r="I908">
        <v>25</v>
      </c>
    </row>
    <row r="909" spans="1:9" x14ac:dyDescent="0.25">
      <c r="A909">
        <v>908</v>
      </c>
      <c r="B909" s="1">
        <v>45992</v>
      </c>
      <c r="C909" t="s">
        <v>123</v>
      </c>
      <c r="D909" t="s">
        <v>12</v>
      </c>
      <c r="E909">
        <v>34</v>
      </c>
      <c r="F909" t="s">
        <v>10</v>
      </c>
      <c r="G909">
        <v>4</v>
      </c>
      <c r="H909">
        <v>300</v>
      </c>
      <c r="I909">
        <v>1200</v>
      </c>
    </row>
    <row r="910" spans="1:9" x14ac:dyDescent="0.25">
      <c r="A910">
        <v>909</v>
      </c>
      <c r="B910" s="1">
        <v>45992</v>
      </c>
      <c r="C910" t="s">
        <v>125</v>
      </c>
      <c r="D910" t="s">
        <v>12</v>
      </c>
      <c r="E910">
        <v>41</v>
      </c>
      <c r="F910" t="s">
        <v>15</v>
      </c>
      <c r="G910">
        <v>1</v>
      </c>
      <c r="H910">
        <v>300</v>
      </c>
      <c r="I910">
        <v>300</v>
      </c>
    </row>
    <row r="911" spans="1:9" x14ac:dyDescent="0.25">
      <c r="A911">
        <v>910</v>
      </c>
      <c r="B911" s="1">
        <v>45993</v>
      </c>
      <c r="C911" t="s">
        <v>129</v>
      </c>
      <c r="D911" t="s">
        <v>9</v>
      </c>
      <c r="E911">
        <v>19</v>
      </c>
      <c r="F911" t="s">
        <v>10</v>
      </c>
      <c r="G911">
        <v>3</v>
      </c>
      <c r="H911">
        <v>50</v>
      </c>
      <c r="I911">
        <v>150</v>
      </c>
    </row>
    <row r="912" spans="1:9" x14ac:dyDescent="0.25">
      <c r="A912">
        <v>911</v>
      </c>
      <c r="B912" s="1">
        <v>45993</v>
      </c>
      <c r="C912" t="s">
        <v>130</v>
      </c>
      <c r="D912" t="s">
        <v>12</v>
      </c>
      <c r="E912">
        <v>30</v>
      </c>
      <c r="F912" t="s">
        <v>15</v>
      </c>
      <c r="G912">
        <v>3</v>
      </c>
      <c r="H912">
        <v>300</v>
      </c>
      <c r="I912">
        <v>900</v>
      </c>
    </row>
    <row r="913" spans="1:9" x14ac:dyDescent="0.25">
      <c r="A913">
        <v>912</v>
      </c>
      <c r="B913" s="1">
        <v>45993</v>
      </c>
      <c r="C913" t="s">
        <v>133</v>
      </c>
      <c r="D913" t="s">
        <v>12</v>
      </c>
      <c r="E913">
        <v>28</v>
      </c>
      <c r="F913" t="s">
        <v>10</v>
      </c>
      <c r="G913">
        <v>3</v>
      </c>
      <c r="H913">
        <v>50</v>
      </c>
      <c r="I913">
        <v>150</v>
      </c>
    </row>
    <row r="914" spans="1:9" x14ac:dyDescent="0.25">
      <c r="A914">
        <v>913</v>
      </c>
      <c r="B914" s="1">
        <v>45994</v>
      </c>
      <c r="C914" t="s">
        <v>134</v>
      </c>
      <c r="D914" t="s">
        <v>9</v>
      </c>
      <c r="E914">
        <v>64</v>
      </c>
      <c r="F914" t="s">
        <v>15</v>
      </c>
      <c r="G914">
        <v>3</v>
      </c>
      <c r="H914">
        <v>30</v>
      </c>
      <c r="I914">
        <v>90</v>
      </c>
    </row>
    <row r="915" spans="1:9" x14ac:dyDescent="0.25">
      <c r="A915">
        <v>914</v>
      </c>
      <c r="B915" s="1">
        <v>45995</v>
      </c>
      <c r="C915" t="s">
        <v>135</v>
      </c>
      <c r="D915" t="s">
        <v>12</v>
      </c>
      <c r="E915">
        <v>40</v>
      </c>
      <c r="F915" t="s">
        <v>15</v>
      </c>
      <c r="G915">
        <v>1</v>
      </c>
      <c r="H915">
        <v>500</v>
      </c>
      <c r="I915">
        <v>500</v>
      </c>
    </row>
    <row r="916" spans="1:9" x14ac:dyDescent="0.25">
      <c r="A916">
        <v>915</v>
      </c>
      <c r="B916" s="1">
        <v>45995</v>
      </c>
      <c r="C916" t="s">
        <v>144</v>
      </c>
      <c r="D916" t="s">
        <v>9</v>
      </c>
      <c r="E916">
        <v>42</v>
      </c>
      <c r="F916" t="s">
        <v>10</v>
      </c>
      <c r="G916">
        <v>3</v>
      </c>
      <c r="H916">
        <v>30</v>
      </c>
      <c r="I916">
        <v>90</v>
      </c>
    </row>
    <row r="917" spans="1:9" x14ac:dyDescent="0.25">
      <c r="A917">
        <v>916</v>
      </c>
      <c r="B917" s="1">
        <v>45995</v>
      </c>
      <c r="C917" t="s">
        <v>145</v>
      </c>
      <c r="D917" t="s">
        <v>9</v>
      </c>
      <c r="E917">
        <v>20</v>
      </c>
      <c r="F917" t="s">
        <v>15</v>
      </c>
      <c r="G917">
        <v>1</v>
      </c>
      <c r="H917">
        <v>50</v>
      </c>
      <c r="I917">
        <v>50</v>
      </c>
    </row>
    <row r="918" spans="1:9" x14ac:dyDescent="0.25">
      <c r="A918">
        <v>917</v>
      </c>
      <c r="B918" s="1">
        <v>45995</v>
      </c>
      <c r="C918" t="s">
        <v>146</v>
      </c>
      <c r="D918" t="s">
        <v>9</v>
      </c>
      <c r="E918">
        <v>49</v>
      </c>
      <c r="F918" t="s">
        <v>15</v>
      </c>
      <c r="G918">
        <v>4</v>
      </c>
      <c r="H918">
        <v>50</v>
      </c>
      <c r="I918">
        <v>200</v>
      </c>
    </row>
    <row r="919" spans="1:9" x14ac:dyDescent="0.25">
      <c r="A919">
        <v>918</v>
      </c>
      <c r="B919" s="1">
        <v>45996</v>
      </c>
      <c r="C919" t="s">
        <v>148</v>
      </c>
      <c r="D919" t="s">
        <v>9</v>
      </c>
      <c r="E919">
        <v>44</v>
      </c>
      <c r="F919" t="s">
        <v>15</v>
      </c>
      <c r="G919">
        <v>3</v>
      </c>
      <c r="H919">
        <v>30</v>
      </c>
      <c r="I919">
        <v>90</v>
      </c>
    </row>
    <row r="920" spans="1:9" x14ac:dyDescent="0.25">
      <c r="A920">
        <v>919</v>
      </c>
      <c r="B920" s="1">
        <v>45996</v>
      </c>
      <c r="C920" t="s">
        <v>152</v>
      </c>
      <c r="D920" t="s">
        <v>9</v>
      </c>
      <c r="E920">
        <v>38</v>
      </c>
      <c r="F920" t="s">
        <v>10</v>
      </c>
      <c r="G920">
        <v>2</v>
      </c>
      <c r="H920">
        <v>25</v>
      </c>
      <c r="I920">
        <v>50</v>
      </c>
    </row>
    <row r="921" spans="1:9" x14ac:dyDescent="0.25">
      <c r="A921">
        <v>920</v>
      </c>
      <c r="B921" s="1">
        <v>45996</v>
      </c>
      <c r="C921" t="s">
        <v>153</v>
      </c>
      <c r="D921" t="s">
        <v>12</v>
      </c>
      <c r="E921">
        <v>22</v>
      </c>
      <c r="F921" t="s">
        <v>10</v>
      </c>
      <c r="G921">
        <v>3</v>
      </c>
      <c r="H921">
        <v>25</v>
      </c>
      <c r="I921">
        <v>75</v>
      </c>
    </row>
    <row r="922" spans="1:9" x14ac:dyDescent="0.25">
      <c r="A922">
        <v>921</v>
      </c>
      <c r="B922" s="1">
        <v>45996</v>
      </c>
      <c r="C922" t="s">
        <v>154</v>
      </c>
      <c r="D922" t="s">
        <v>9</v>
      </c>
      <c r="E922">
        <v>35</v>
      </c>
      <c r="F922" t="s">
        <v>15</v>
      </c>
      <c r="G922">
        <v>3</v>
      </c>
      <c r="H922">
        <v>25</v>
      </c>
      <c r="I922">
        <v>75</v>
      </c>
    </row>
    <row r="923" spans="1:9" x14ac:dyDescent="0.25">
      <c r="A923">
        <v>922</v>
      </c>
      <c r="B923" s="1">
        <v>45996</v>
      </c>
      <c r="C923" t="s">
        <v>159</v>
      </c>
      <c r="D923" t="s">
        <v>9</v>
      </c>
      <c r="E923">
        <v>23</v>
      </c>
      <c r="F923" t="s">
        <v>15</v>
      </c>
      <c r="G923">
        <v>1</v>
      </c>
      <c r="H923">
        <v>50</v>
      </c>
      <c r="I923">
        <v>50</v>
      </c>
    </row>
    <row r="924" spans="1:9" x14ac:dyDescent="0.25">
      <c r="A924">
        <v>923</v>
      </c>
      <c r="B924" s="1">
        <v>45997</v>
      </c>
      <c r="C924" t="s">
        <v>162</v>
      </c>
      <c r="D924" t="s">
        <v>12</v>
      </c>
      <c r="E924">
        <v>58</v>
      </c>
      <c r="F924" t="s">
        <v>10</v>
      </c>
      <c r="G924">
        <v>3</v>
      </c>
      <c r="H924">
        <v>300</v>
      </c>
      <c r="I924">
        <v>900</v>
      </c>
    </row>
    <row r="925" spans="1:9" x14ac:dyDescent="0.25">
      <c r="A925">
        <v>924</v>
      </c>
      <c r="B925" s="1">
        <v>45997</v>
      </c>
      <c r="C925" t="s">
        <v>639</v>
      </c>
      <c r="D925" t="s">
        <v>9</v>
      </c>
      <c r="E925">
        <v>57</v>
      </c>
      <c r="F925" t="s">
        <v>10</v>
      </c>
      <c r="G925">
        <v>2</v>
      </c>
      <c r="H925">
        <v>50</v>
      </c>
      <c r="I925">
        <v>100</v>
      </c>
    </row>
    <row r="926" spans="1:9" x14ac:dyDescent="0.25">
      <c r="A926">
        <v>925</v>
      </c>
      <c r="B926" s="1">
        <v>45997</v>
      </c>
      <c r="C926" t="s">
        <v>640</v>
      </c>
      <c r="D926" t="s">
        <v>12</v>
      </c>
      <c r="E926">
        <v>19</v>
      </c>
      <c r="F926" t="s">
        <v>15</v>
      </c>
      <c r="G926">
        <v>5</v>
      </c>
      <c r="H926">
        <v>300</v>
      </c>
      <c r="I926">
        <v>1500</v>
      </c>
    </row>
    <row r="927" spans="1:9" x14ac:dyDescent="0.25">
      <c r="A927">
        <v>926</v>
      </c>
      <c r="B927" s="1">
        <v>45997</v>
      </c>
      <c r="C927" t="s">
        <v>641</v>
      </c>
      <c r="D927" t="s">
        <v>9</v>
      </c>
      <c r="E927">
        <v>62</v>
      </c>
      <c r="F927" t="s">
        <v>15</v>
      </c>
      <c r="G927">
        <v>1</v>
      </c>
      <c r="H927">
        <v>30</v>
      </c>
      <c r="I927">
        <v>30</v>
      </c>
    </row>
    <row r="928" spans="1:9" x14ac:dyDescent="0.25">
      <c r="A928">
        <v>927</v>
      </c>
      <c r="B928" s="1">
        <v>45997</v>
      </c>
      <c r="C928" t="s">
        <v>642</v>
      </c>
      <c r="D928" t="s">
        <v>9</v>
      </c>
      <c r="E928">
        <v>42</v>
      </c>
      <c r="F928" t="s">
        <v>15</v>
      </c>
      <c r="G928">
        <v>4</v>
      </c>
      <c r="H928">
        <v>500</v>
      </c>
      <c r="I928">
        <v>2000</v>
      </c>
    </row>
    <row r="929" spans="1:9" x14ac:dyDescent="0.25">
      <c r="A929">
        <v>928</v>
      </c>
      <c r="B929" s="1">
        <v>45998</v>
      </c>
      <c r="C929" t="s">
        <v>643</v>
      </c>
      <c r="D929" t="s">
        <v>9</v>
      </c>
      <c r="E929">
        <v>56</v>
      </c>
      <c r="F929" t="s">
        <v>13</v>
      </c>
      <c r="G929">
        <v>4</v>
      </c>
      <c r="H929">
        <v>300</v>
      </c>
      <c r="I929">
        <v>1200</v>
      </c>
    </row>
    <row r="930" spans="1:9" x14ac:dyDescent="0.25">
      <c r="A930">
        <v>929</v>
      </c>
      <c r="B930" s="1">
        <v>45998</v>
      </c>
      <c r="C930" t="s">
        <v>644</v>
      </c>
      <c r="D930" t="s">
        <v>12</v>
      </c>
      <c r="E930">
        <v>26</v>
      </c>
      <c r="F930" t="s">
        <v>10</v>
      </c>
      <c r="G930">
        <v>3</v>
      </c>
      <c r="H930">
        <v>25</v>
      </c>
      <c r="I930">
        <v>75</v>
      </c>
    </row>
    <row r="931" spans="1:9" x14ac:dyDescent="0.25">
      <c r="A931">
        <v>930</v>
      </c>
      <c r="B931" s="1">
        <v>45999</v>
      </c>
      <c r="C931" t="s">
        <v>645</v>
      </c>
      <c r="D931" t="s">
        <v>9</v>
      </c>
      <c r="E931">
        <v>39</v>
      </c>
      <c r="F931" t="s">
        <v>13</v>
      </c>
      <c r="G931">
        <v>4</v>
      </c>
      <c r="H931">
        <v>50</v>
      </c>
      <c r="I931">
        <v>200</v>
      </c>
    </row>
    <row r="932" spans="1:9" x14ac:dyDescent="0.25">
      <c r="A932">
        <v>931</v>
      </c>
      <c r="B932" s="1">
        <v>45999</v>
      </c>
      <c r="C932" t="s">
        <v>646</v>
      </c>
      <c r="D932" t="s">
        <v>9</v>
      </c>
      <c r="E932">
        <v>60</v>
      </c>
      <c r="F932" t="s">
        <v>10</v>
      </c>
      <c r="G932">
        <v>4</v>
      </c>
      <c r="H932">
        <v>30</v>
      </c>
      <c r="I932">
        <v>120</v>
      </c>
    </row>
    <row r="933" spans="1:9" x14ac:dyDescent="0.25">
      <c r="A933">
        <v>932</v>
      </c>
      <c r="B933" s="1">
        <v>45999</v>
      </c>
      <c r="C933" t="s">
        <v>647</v>
      </c>
      <c r="D933" t="s">
        <v>12</v>
      </c>
      <c r="E933">
        <v>63</v>
      </c>
      <c r="F933" t="s">
        <v>10</v>
      </c>
      <c r="G933">
        <v>4</v>
      </c>
      <c r="H933">
        <v>25</v>
      </c>
      <c r="I933">
        <v>100</v>
      </c>
    </row>
    <row r="934" spans="1:9" x14ac:dyDescent="0.25">
      <c r="A934">
        <v>933</v>
      </c>
      <c r="B934" s="1">
        <v>45999</v>
      </c>
      <c r="C934" t="s">
        <v>648</v>
      </c>
      <c r="D934" t="s">
        <v>12</v>
      </c>
      <c r="E934">
        <v>21</v>
      </c>
      <c r="F934" t="s">
        <v>10</v>
      </c>
      <c r="G934">
        <v>1</v>
      </c>
      <c r="H934">
        <v>30</v>
      </c>
      <c r="I934">
        <v>30</v>
      </c>
    </row>
    <row r="935" spans="1:9" x14ac:dyDescent="0.25">
      <c r="A935">
        <v>934</v>
      </c>
      <c r="B935" s="1">
        <v>46000</v>
      </c>
      <c r="C935" t="s">
        <v>649</v>
      </c>
      <c r="D935" t="s">
        <v>9</v>
      </c>
      <c r="E935">
        <v>43</v>
      </c>
      <c r="F935" t="s">
        <v>10</v>
      </c>
      <c r="G935">
        <v>1</v>
      </c>
      <c r="H935">
        <v>500</v>
      </c>
      <c r="I935">
        <v>500</v>
      </c>
    </row>
    <row r="936" spans="1:9" x14ac:dyDescent="0.25">
      <c r="A936">
        <v>935</v>
      </c>
      <c r="B936" s="1">
        <v>46000</v>
      </c>
      <c r="C936" t="s">
        <v>650</v>
      </c>
      <c r="D936" t="s">
        <v>9</v>
      </c>
      <c r="E936">
        <v>46</v>
      </c>
      <c r="F936" t="s">
        <v>10</v>
      </c>
      <c r="G936">
        <v>1</v>
      </c>
      <c r="H936">
        <v>50</v>
      </c>
      <c r="I936">
        <v>50</v>
      </c>
    </row>
    <row r="937" spans="1:9" x14ac:dyDescent="0.25">
      <c r="A937">
        <v>936</v>
      </c>
      <c r="B937" s="1">
        <v>46000</v>
      </c>
      <c r="C937" t="s">
        <v>651</v>
      </c>
      <c r="D937" t="s">
        <v>12</v>
      </c>
      <c r="E937">
        <v>62</v>
      </c>
      <c r="F937" t="s">
        <v>10</v>
      </c>
      <c r="G937">
        <v>4</v>
      </c>
      <c r="H937">
        <v>50</v>
      </c>
      <c r="I937">
        <v>200</v>
      </c>
    </row>
    <row r="938" spans="1:9" x14ac:dyDescent="0.25">
      <c r="A938">
        <v>937</v>
      </c>
      <c r="B938" s="1">
        <v>46000</v>
      </c>
      <c r="C938" t="s">
        <v>652</v>
      </c>
      <c r="D938" t="s">
        <v>12</v>
      </c>
      <c r="E938">
        <v>51</v>
      </c>
      <c r="F938" t="s">
        <v>10</v>
      </c>
      <c r="G938">
        <v>1</v>
      </c>
      <c r="H938">
        <v>500</v>
      </c>
      <c r="I938">
        <v>500</v>
      </c>
    </row>
    <row r="939" spans="1:9" x14ac:dyDescent="0.25">
      <c r="A939">
        <v>938</v>
      </c>
      <c r="B939" s="1">
        <v>46000</v>
      </c>
      <c r="C939" t="s">
        <v>653</v>
      </c>
      <c r="D939" t="s">
        <v>12</v>
      </c>
      <c r="E939">
        <v>40</v>
      </c>
      <c r="F939" t="s">
        <v>13</v>
      </c>
      <c r="G939">
        <v>4</v>
      </c>
      <c r="H939">
        <v>50</v>
      </c>
      <c r="I939">
        <v>200</v>
      </c>
    </row>
    <row r="940" spans="1:9" x14ac:dyDescent="0.25">
      <c r="A940">
        <v>939</v>
      </c>
      <c r="B940" s="1">
        <v>46000</v>
      </c>
      <c r="C940" t="s">
        <v>654</v>
      </c>
      <c r="D940" t="s">
        <v>12</v>
      </c>
      <c r="E940">
        <v>54</v>
      </c>
      <c r="F940" t="s">
        <v>15</v>
      </c>
      <c r="G940">
        <v>1</v>
      </c>
      <c r="H940">
        <v>300</v>
      </c>
      <c r="I940">
        <v>300</v>
      </c>
    </row>
    <row r="941" spans="1:9" x14ac:dyDescent="0.25">
      <c r="A941">
        <v>940</v>
      </c>
      <c r="B941" s="1">
        <v>46001</v>
      </c>
      <c r="C941" t="s">
        <v>655</v>
      </c>
      <c r="D941" t="s">
        <v>12</v>
      </c>
      <c r="E941">
        <v>28</v>
      </c>
      <c r="F941" t="s">
        <v>15</v>
      </c>
      <c r="G941">
        <v>1</v>
      </c>
      <c r="H941">
        <v>30</v>
      </c>
      <c r="I941">
        <v>30</v>
      </c>
    </row>
    <row r="942" spans="1:9" x14ac:dyDescent="0.25">
      <c r="A942">
        <v>941</v>
      </c>
      <c r="B942" s="1">
        <v>46001</v>
      </c>
      <c r="C942" t="s">
        <v>656</v>
      </c>
      <c r="D942" t="s">
        <v>9</v>
      </c>
      <c r="E942">
        <v>23</v>
      </c>
      <c r="F942" t="s">
        <v>13</v>
      </c>
      <c r="G942">
        <v>2</v>
      </c>
      <c r="H942">
        <v>25</v>
      </c>
      <c r="I942">
        <v>50</v>
      </c>
    </row>
    <row r="943" spans="1:9" x14ac:dyDescent="0.25">
      <c r="A943">
        <v>942</v>
      </c>
      <c r="B943" s="1">
        <v>46001</v>
      </c>
      <c r="C943" t="s">
        <v>657</v>
      </c>
      <c r="D943" t="s">
        <v>12</v>
      </c>
      <c r="E943">
        <v>35</v>
      </c>
      <c r="F943" t="s">
        <v>13</v>
      </c>
      <c r="G943">
        <v>3</v>
      </c>
      <c r="H943">
        <v>500</v>
      </c>
      <c r="I943">
        <v>1500</v>
      </c>
    </row>
    <row r="944" spans="1:9" x14ac:dyDescent="0.25">
      <c r="A944">
        <v>943</v>
      </c>
      <c r="B944" s="1">
        <v>46001</v>
      </c>
      <c r="C944" t="s">
        <v>658</v>
      </c>
      <c r="D944" t="s">
        <v>9</v>
      </c>
      <c r="E944">
        <v>38</v>
      </c>
      <c r="F944" t="s">
        <v>13</v>
      </c>
      <c r="G944">
        <v>4</v>
      </c>
      <c r="H944">
        <v>300</v>
      </c>
      <c r="I944">
        <v>1200</v>
      </c>
    </row>
    <row r="945" spans="1:9" x14ac:dyDescent="0.25">
      <c r="A945">
        <v>944</v>
      </c>
      <c r="B945" s="1">
        <v>46002</v>
      </c>
      <c r="C945" t="s">
        <v>659</v>
      </c>
      <c r="D945" t="s">
        <v>9</v>
      </c>
      <c r="E945">
        <v>59</v>
      </c>
      <c r="F945" t="s">
        <v>13</v>
      </c>
      <c r="G945">
        <v>2</v>
      </c>
      <c r="H945">
        <v>25</v>
      </c>
      <c r="I945">
        <v>50</v>
      </c>
    </row>
    <row r="946" spans="1:9" x14ac:dyDescent="0.25">
      <c r="A946">
        <v>945</v>
      </c>
      <c r="B946" s="1">
        <v>46002</v>
      </c>
      <c r="C946" t="s">
        <v>660</v>
      </c>
      <c r="D946" t="s">
        <v>9</v>
      </c>
      <c r="E946">
        <v>53</v>
      </c>
      <c r="F946" t="s">
        <v>10</v>
      </c>
      <c r="G946">
        <v>1</v>
      </c>
      <c r="H946">
        <v>25</v>
      </c>
      <c r="I946">
        <v>25</v>
      </c>
    </row>
    <row r="947" spans="1:9" x14ac:dyDescent="0.25">
      <c r="A947">
        <v>946</v>
      </c>
      <c r="B947" s="1">
        <v>46003</v>
      </c>
      <c r="C947" t="s">
        <v>661</v>
      </c>
      <c r="D947" t="s">
        <v>12</v>
      </c>
      <c r="E947">
        <v>58</v>
      </c>
      <c r="F947" t="s">
        <v>15</v>
      </c>
      <c r="G947">
        <v>4</v>
      </c>
      <c r="H947">
        <v>500</v>
      </c>
      <c r="I947">
        <v>2000</v>
      </c>
    </row>
    <row r="948" spans="1:9" x14ac:dyDescent="0.25">
      <c r="A948">
        <v>947</v>
      </c>
      <c r="B948" s="1">
        <v>46003</v>
      </c>
      <c r="C948" t="s">
        <v>662</v>
      </c>
      <c r="D948" t="s">
        <v>9</v>
      </c>
      <c r="E948">
        <v>55</v>
      </c>
      <c r="F948" t="s">
        <v>10</v>
      </c>
      <c r="G948">
        <v>1</v>
      </c>
      <c r="H948">
        <v>300</v>
      </c>
      <c r="I948">
        <v>300</v>
      </c>
    </row>
    <row r="949" spans="1:9" x14ac:dyDescent="0.25">
      <c r="A949">
        <v>948</v>
      </c>
      <c r="B949" s="1">
        <v>46004</v>
      </c>
      <c r="C949" t="s">
        <v>663</v>
      </c>
      <c r="D949" t="s">
        <v>9</v>
      </c>
      <c r="E949">
        <v>51</v>
      </c>
      <c r="F949" t="s">
        <v>15</v>
      </c>
      <c r="G949">
        <v>3</v>
      </c>
      <c r="H949">
        <v>25</v>
      </c>
      <c r="I949">
        <v>75</v>
      </c>
    </row>
    <row r="950" spans="1:9" x14ac:dyDescent="0.25">
      <c r="A950">
        <v>949</v>
      </c>
      <c r="B950" s="1">
        <v>46004</v>
      </c>
      <c r="C950" t="s">
        <v>664</v>
      </c>
      <c r="D950" t="s">
        <v>12</v>
      </c>
      <c r="E950">
        <v>34</v>
      </c>
      <c r="F950" t="s">
        <v>15</v>
      </c>
      <c r="G950">
        <v>2</v>
      </c>
      <c r="H950">
        <v>25</v>
      </c>
      <c r="I950">
        <v>50</v>
      </c>
    </row>
    <row r="951" spans="1:9" x14ac:dyDescent="0.25">
      <c r="A951">
        <v>950</v>
      </c>
      <c r="B951" s="1">
        <v>46004</v>
      </c>
      <c r="C951" t="s">
        <v>665</v>
      </c>
      <c r="D951" t="s">
        <v>9</v>
      </c>
      <c r="E951">
        <v>54</v>
      </c>
      <c r="F951" t="s">
        <v>13</v>
      </c>
      <c r="G951">
        <v>3</v>
      </c>
      <c r="H951">
        <v>300</v>
      </c>
      <c r="I951">
        <v>900</v>
      </c>
    </row>
    <row r="952" spans="1:9" x14ac:dyDescent="0.25">
      <c r="A952">
        <v>951</v>
      </c>
      <c r="B952" s="1">
        <v>46005</v>
      </c>
      <c r="C952" t="s">
        <v>666</v>
      </c>
      <c r="D952" t="s">
        <v>9</v>
      </c>
      <c r="E952">
        <v>42</v>
      </c>
      <c r="F952" t="s">
        <v>10</v>
      </c>
      <c r="G952">
        <v>2</v>
      </c>
      <c r="H952">
        <v>50</v>
      </c>
      <c r="I952">
        <v>100</v>
      </c>
    </row>
    <row r="953" spans="1:9" x14ac:dyDescent="0.25">
      <c r="A953">
        <v>952</v>
      </c>
      <c r="B953" s="1">
        <v>46005</v>
      </c>
      <c r="C953" t="s">
        <v>667</v>
      </c>
      <c r="D953" t="s">
        <v>12</v>
      </c>
      <c r="E953">
        <v>55</v>
      </c>
      <c r="F953" t="s">
        <v>13</v>
      </c>
      <c r="G953">
        <v>1</v>
      </c>
      <c r="H953">
        <v>25</v>
      </c>
      <c r="I953">
        <v>25</v>
      </c>
    </row>
    <row r="954" spans="1:9" x14ac:dyDescent="0.25">
      <c r="A954">
        <v>953</v>
      </c>
      <c r="B954" s="1">
        <v>46006</v>
      </c>
      <c r="C954" t="s">
        <v>668</v>
      </c>
      <c r="D954" t="s">
        <v>9</v>
      </c>
      <c r="E954">
        <v>29</v>
      </c>
      <c r="F954" t="s">
        <v>10</v>
      </c>
      <c r="G954">
        <v>3</v>
      </c>
      <c r="H954">
        <v>30</v>
      </c>
      <c r="I954">
        <v>90</v>
      </c>
    </row>
    <row r="955" spans="1:9" x14ac:dyDescent="0.25">
      <c r="A955">
        <v>954</v>
      </c>
      <c r="B955" s="1">
        <v>46006</v>
      </c>
      <c r="C955" t="s">
        <v>669</v>
      </c>
      <c r="D955" t="s">
        <v>9</v>
      </c>
      <c r="E955">
        <v>40</v>
      </c>
      <c r="F955" t="s">
        <v>15</v>
      </c>
      <c r="G955">
        <v>3</v>
      </c>
      <c r="H955">
        <v>300</v>
      </c>
      <c r="I955">
        <v>900</v>
      </c>
    </row>
    <row r="956" spans="1:9" x14ac:dyDescent="0.25">
      <c r="A956">
        <v>955</v>
      </c>
      <c r="B956" s="1">
        <v>46007</v>
      </c>
      <c r="C956" t="s">
        <v>670</v>
      </c>
      <c r="D956" t="s">
        <v>9</v>
      </c>
      <c r="E956">
        <v>59</v>
      </c>
      <c r="F956" t="s">
        <v>13</v>
      </c>
      <c r="G956">
        <v>1</v>
      </c>
      <c r="H956">
        <v>25</v>
      </c>
      <c r="I956">
        <v>25</v>
      </c>
    </row>
    <row r="957" spans="1:9" x14ac:dyDescent="0.25">
      <c r="A957">
        <v>956</v>
      </c>
      <c r="B957" s="1">
        <v>46007</v>
      </c>
      <c r="C957" t="s">
        <v>671</v>
      </c>
      <c r="D957" t="s">
        <v>12</v>
      </c>
      <c r="E957">
        <v>39</v>
      </c>
      <c r="F957" t="s">
        <v>13</v>
      </c>
      <c r="G957">
        <v>3</v>
      </c>
      <c r="H957">
        <v>500</v>
      </c>
      <c r="I957">
        <v>1500</v>
      </c>
    </row>
    <row r="958" spans="1:9" x14ac:dyDescent="0.25">
      <c r="A958">
        <v>957</v>
      </c>
      <c r="B958" s="1">
        <v>46007</v>
      </c>
      <c r="C958" t="s">
        <v>672</v>
      </c>
      <c r="D958" t="s">
        <v>12</v>
      </c>
      <c r="E958">
        <v>38</v>
      </c>
      <c r="F958" t="s">
        <v>15</v>
      </c>
      <c r="G958">
        <v>4</v>
      </c>
      <c r="H958">
        <v>30</v>
      </c>
      <c r="I958">
        <v>120</v>
      </c>
    </row>
    <row r="959" spans="1:9" x14ac:dyDescent="0.25">
      <c r="A959">
        <v>958</v>
      </c>
      <c r="B959" s="1">
        <v>46008</v>
      </c>
      <c r="C959" t="s">
        <v>673</v>
      </c>
      <c r="D959" t="s">
        <v>12</v>
      </c>
      <c r="E959">
        <v>44</v>
      </c>
      <c r="F959" t="s">
        <v>15</v>
      </c>
      <c r="G959">
        <v>2</v>
      </c>
      <c r="H959">
        <v>25</v>
      </c>
      <c r="I959">
        <v>50</v>
      </c>
    </row>
    <row r="960" spans="1:9" x14ac:dyDescent="0.25">
      <c r="A960">
        <v>959</v>
      </c>
      <c r="B960" s="1">
        <v>46008</v>
      </c>
      <c r="C960" t="s">
        <v>674</v>
      </c>
      <c r="D960" t="s">
        <v>9</v>
      </c>
      <c r="E960">
        <v>48</v>
      </c>
      <c r="F960" t="s">
        <v>15</v>
      </c>
      <c r="G960">
        <v>2</v>
      </c>
      <c r="H960">
        <v>30</v>
      </c>
      <c r="I960">
        <v>60</v>
      </c>
    </row>
    <row r="961" spans="1:9" x14ac:dyDescent="0.25">
      <c r="A961">
        <v>960</v>
      </c>
      <c r="B961" s="1">
        <v>46009</v>
      </c>
      <c r="C961" t="s">
        <v>675</v>
      </c>
      <c r="D961" t="s">
        <v>9</v>
      </c>
      <c r="E961">
        <v>23</v>
      </c>
      <c r="F961" t="s">
        <v>13</v>
      </c>
      <c r="G961">
        <v>2</v>
      </c>
      <c r="H961">
        <v>30</v>
      </c>
      <c r="I961">
        <v>60</v>
      </c>
    </row>
    <row r="962" spans="1:9" x14ac:dyDescent="0.25">
      <c r="A962">
        <v>961</v>
      </c>
      <c r="B962" s="1">
        <v>46009</v>
      </c>
      <c r="C962" t="s">
        <v>676</v>
      </c>
      <c r="D962" t="s">
        <v>12</v>
      </c>
      <c r="E962">
        <v>44</v>
      </c>
      <c r="F962" t="s">
        <v>10</v>
      </c>
      <c r="G962">
        <v>4</v>
      </c>
      <c r="H962">
        <v>50</v>
      </c>
      <c r="I962">
        <v>200</v>
      </c>
    </row>
    <row r="963" spans="1:9" x14ac:dyDescent="0.25">
      <c r="A963">
        <v>962</v>
      </c>
      <c r="B963" s="1">
        <v>46009</v>
      </c>
      <c r="C963" t="s">
        <v>677</v>
      </c>
      <c r="D963" t="s">
        <v>9</v>
      </c>
      <c r="E963">
        <v>57</v>
      </c>
      <c r="F963" t="s">
        <v>13</v>
      </c>
      <c r="G963">
        <v>2</v>
      </c>
      <c r="H963">
        <v>30</v>
      </c>
      <c r="I963">
        <v>60</v>
      </c>
    </row>
    <row r="964" spans="1:9" x14ac:dyDescent="0.25">
      <c r="A964">
        <v>963</v>
      </c>
      <c r="B964" s="1">
        <v>46009</v>
      </c>
      <c r="C964" t="s">
        <v>678</v>
      </c>
      <c r="D964" t="s">
        <v>9</v>
      </c>
      <c r="E964">
        <v>51</v>
      </c>
      <c r="F964" t="s">
        <v>10</v>
      </c>
      <c r="G964">
        <v>1</v>
      </c>
      <c r="H964">
        <v>50</v>
      </c>
      <c r="I964">
        <v>50</v>
      </c>
    </row>
    <row r="965" spans="1:9" x14ac:dyDescent="0.25">
      <c r="A965">
        <v>964</v>
      </c>
      <c r="B965" s="1">
        <v>46010</v>
      </c>
      <c r="C965" t="s">
        <v>679</v>
      </c>
      <c r="D965" t="s">
        <v>12</v>
      </c>
      <c r="E965">
        <v>29</v>
      </c>
      <c r="F965" t="s">
        <v>13</v>
      </c>
      <c r="G965">
        <v>3</v>
      </c>
      <c r="H965">
        <v>300</v>
      </c>
      <c r="I965">
        <v>900</v>
      </c>
    </row>
    <row r="966" spans="1:9" x14ac:dyDescent="0.25">
      <c r="A966">
        <v>965</v>
      </c>
      <c r="B966" s="1">
        <v>46010</v>
      </c>
      <c r="C966" t="s">
        <v>680</v>
      </c>
      <c r="D966" t="s">
        <v>12</v>
      </c>
      <c r="E966">
        <v>62</v>
      </c>
      <c r="F966" t="s">
        <v>13</v>
      </c>
      <c r="G966">
        <v>4</v>
      </c>
      <c r="H966">
        <v>50</v>
      </c>
      <c r="I966">
        <v>200</v>
      </c>
    </row>
    <row r="967" spans="1:9" x14ac:dyDescent="0.25">
      <c r="A967">
        <v>966</v>
      </c>
      <c r="B967" s="1">
        <v>46010</v>
      </c>
      <c r="C967" t="s">
        <v>681</v>
      </c>
      <c r="D967" t="s">
        <v>9</v>
      </c>
      <c r="E967">
        <v>24</v>
      </c>
      <c r="F967" t="s">
        <v>15</v>
      </c>
      <c r="G967">
        <v>2</v>
      </c>
      <c r="H967">
        <v>500</v>
      </c>
      <c r="I967">
        <v>1000</v>
      </c>
    </row>
    <row r="968" spans="1:9" x14ac:dyDescent="0.25">
      <c r="A968">
        <v>967</v>
      </c>
      <c r="B968" s="1">
        <v>46011</v>
      </c>
      <c r="C968" t="s">
        <v>682</v>
      </c>
      <c r="D968" t="s">
        <v>9</v>
      </c>
      <c r="E968">
        <v>27</v>
      </c>
      <c r="F968" t="s">
        <v>10</v>
      </c>
      <c r="G968">
        <v>1</v>
      </c>
      <c r="H968">
        <v>25</v>
      </c>
      <c r="I968">
        <v>25</v>
      </c>
    </row>
    <row r="969" spans="1:9" x14ac:dyDescent="0.25">
      <c r="A969">
        <v>968</v>
      </c>
      <c r="B969" s="1">
        <v>46011</v>
      </c>
      <c r="C969" t="s">
        <v>683</v>
      </c>
      <c r="D969" t="s">
        <v>9</v>
      </c>
      <c r="E969">
        <v>62</v>
      </c>
      <c r="F969" t="s">
        <v>13</v>
      </c>
      <c r="G969">
        <v>3</v>
      </c>
      <c r="H969">
        <v>300</v>
      </c>
      <c r="I969">
        <v>900</v>
      </c>
    </row>
    <row r="970" spans="1:9" x14ac:dyDescent="0.25">
      <c r="A970">
        <v>969</v>
      </c>
      <c r="B970" s="1">
        <v>46011</v>
      </c>
      <c r="C970" t="s">
        <v>684</v>
      </c>
      <c r="D970" t="s">
        <v>12</v>
      </c>
      <c r="E970">
        <v>34</v>
      </c>
      <c r="F970" t="s">
        <v>13</v>
      </c>
      <c r="G970">
        <v>3</v>
      </c>
      <c r="H970">
        <v>300</v>
      </c>
      <c r="I970">
        <v>900</v>
      </c>
    </row>
    <row r="971" spans="1:9" x14ac:dyDescent="0.25">
      <c r="A971">
        <v>970</v>
      </c>
      <c r="B971" s="1">
        <v>46011</v>
      </c>
      <c r="C971" t="s">
        <v>685</v>
      </c>
      <c r="D971" t="s">
        <v>12</v>
      </c>
      <c r="E971">
        <v>43</v>
      </c>
      <c r="F971" t="s">
        <v>15</v>
      </c>
      <c r="G971">
        <v>4</v>
      </c>
      <c r="H971">
        <v>500</v>
      </c>
      <c r="I971">
        <v>2000</v>
      </c>
    </row>
    <row r="972" spans="1:9" x14ac:dyDescent="0.25">
      <c r="A972">
        <v>971</v>
      </c>
      <c r="B972" s="1">
        <v>46011</v>
      </c>
      <c r="C972" t="s">
        <v>686</v>
      </c>
      <c r="D972" t="s">
        <v>12</v>
      </c>
      <c r="E972">
        <v>38</v>
      </c>
      <c r="F972" t="s">
        <v>15</v>
      </c>
      <c r="G972">
        <v>4</v>
      </c>
      <c r="H972">
        <v>50</v>
      </c>
      <c r="I972">
        <v>200</v>
      </c>
    </row>
    <row r="973" spans="1:9" x14ac:dyDescent="0.25">
      <c r="A973">
        <v>972</v>
      </c>
      <c r="B973" s="1">
        <v>46012</v>
      </c>
      <c r="C973" t="s">
        <v>687</v>
      </c>
      <c r="D973" t="s">
        <v>12</v>
      </c>
      <c r="E973">
        <v>45</v>
      </c>
      <c r="F973" t="s">
        <v>10</v>
      </c>
      <c r="G973">
        <v>4</v>
      </c>
      <c r="H973">
        <v>25</v>
      </c>
      <c r="I973">
        <v>100</v>
      </c>
    </row>
    <row r="974" spans="1:9" x14ac:dyDescent="0.25">
      <c r="A974">
        <v>973</v>
      </c>
      <c r="B974" s="1">
        <v>46013</v>
      </c>
      <c r="C974" t="s">
        <v>688</v>
      </c>
      <c r="D974" t="s">
        <v>9</v>
      </c>
      <c r="E974">
        <v>63</v>
      </c>
      <c r="F974" t="s">
        <v>13</v>
      </c>
      <c r="G974">
        <v>1</v>
      </c>
      <c r="H974">
        <v>50</v>
      </c>
      <c r="I974">
        <v>50</v>
      </c>
    </row>
    <row r="975" spans="1:9" x14ac:dyDescent="0.25">
      <c r="A975">
        <v>974</v>
      </c>
      <c r="B975" s="1">
        <v>46014</v>
      </c>
      <c r="C975" t="s">
        <v>689</v>
      </c>
      <c r="D975" t="s">
        <v>12</v>
      </c>
      <c r="E975">
        <v>19</v>
      </c>
      <c r="F975" t="s">
        <v>10</v>
      </c>
      <c r="G975">
        <v>1</v>
      </c>
      <c r="H975">
        <v>30</v>
      </c>
      <c r="I975">
        <v>30</v>
      </c>
    </row>
    <row r="976" spans="1:9" x14ac:dyDescent="0.25">
      <c r="A976">
        <v>975</v>
      </c>
      <c r="B976" s="1">
        <v>46014</v>
      </c>
      <c r="C976" t="s">
        <v>690</v>
      </c>
      <c r="D976" t="s">
        <v>12</v>
      </c>
      <c r="E976">
        <v>60</v>
      </c>
      <c r="F976" t="s">
        <v>13</v>
      </c>
      <c r="G976">
        <v>4</v>
      </c>
      <c r="H976">
        <v>50</v>
      </c>
      <c r="I976">
        <v>200</v>
      </c>
    </row>
    <row r="977" spans="1:9" x14ac:dyDescent="0.25">
      <c r="A977">
        <v>976</v>
      </c>
      <c r="B977" s="1">
        <v>46014</v>
      </c>
      <c r="C977" t="s">
        <v>691</v>
      </c>
      <c r="D977" t="s">
        <v>12</v>
      </c>
      <c r="E977">
        <v>18</v>
      </c>
      <c r="F977" t="s">
        <v>10</v>
      </c>
      <c r="G977">
        <v>2</v>
      </c>
      <c r="H977">
        <v>300</v>
      </c>
      <c r="I977">
        <v>600</v>
      </c>
    </row>
    <row r="978" spans="1:9" x14ac:dyDescent="0.25">
      <c r="A978">
        <v>977</v>
      </c>
      <c r="B978" s="1">
        <v>46014</v>
      </c>
      <c r="C978" t="s">
        <v>692</v>
      </c>
      <c r="D978" t="s">
        <v>12</v>
      </c>
      <c r="E978">
        <v>53</v>
      </c>
      <c r="F978" t="s">
        <v>15</v>
      </c>
      <c r="G978">
        <v>3</v>
      </c>
      <c r="H978">
        <v>25</v>
      </c>
      <c r="I978">
        <v>75</v>
      </c>
    </row>
    <row r="979" spans="1:9" x14ac:dyDescent="0.25">
      <c r="A979">
        <v>978</v>
      </c>
      <c r="B979" s="1">
        <v>46014</v>
      </c>
      <c r="C979" t="s">
        <v>693</v>
      </c>
      <c r="D979" t="s">
        <v>12</v>
      </c>
      <c r="E979">
        <v>43</v>
      </c>
      <c r="F979" t="s">
        <v>13</v>
      </c>
      <c r="G979">
        <v>3</v>
      </c>
      <c r="H979">
        <v>50</v>
      </c>
      <c r="I979">
        <v>150</v>
      </c>
    </row>
    <row r="980" spans="1:9" x14ac:dyDescent="0.25">
      <c r="A980">
        <v>979</v>
      </c>
      <c r="B980" s="1">
        <v>46014</v>
      </c>
      <c r="C980" t="s">
        <v>694</v>
      </c>
      <c r="D980" t="s">
        <v>9</v>
      </c>
      <c r="E980">
        <v>46</v>
      </c>
      <c r="F980" t="s">
        <v>10</v>
      </c>
      <c r="G980">
        <v>1</v>
      </c>
      <c r="H980">
        <v>25</v>
      </c>
      <c r="I980">
        <v>25</v>
      </c>
    </row>
    <row r="981" spans="1:9" x14ac:dyDescent="0.25">
      <c r="A981">
        <v>980</v>
      </c>
      <c r="B981" s="1">
        <v>46015</v>
      </c>
      <c r="C981" t="s">
        <v>695</v>
      </c>
      <c r="D981" t="s">
        <v>9</v>
      </c>
      <c r="E981">
        <v>38</v>
      </c>
      <c r="F981" t="s">
        <v>15</v>
      </c>
      <c r="G981">
        <v>3</v>
      </c>
      <c r="H981">
        <v>25</v>
      </c>
      <c r="I981">
        <v>75</v>
      </c>
    </row>
    <row r="982" spans="1:9" x14ac:dyDescent="0.25">
      <c r="A982">
        <v>981</v>
      </c>
      <c r="B982" s="1">
        <v>46015</v>
      </c>
      <c r="C982" t="s">
        <v>696</v>
      </c>
      <c r="D982" t="s">
        <v>12</v>
      </c>
      <c r="E982">
        <v>28</v>
      </c>
      <c r="F982" t="s">
        <v>15</v>
      </c>
      <c r="G982">
        <v>2</v>
      </c>
      <c r="H982">
        <v>30</v>
      </c>
      <c r="I982">
        <v>60</v>
      </c>
    </row>
    <row r="983" spans="1:9" x14ac:dyDescent="0.25">
      <c r="A983">
        <v>982</v>
      </c>
      <c r="B983" s="1">
        <v>46016</v>
      </c>
      <c r="C983" t="s">
        <v>697</v>
      </c>
      <c r="D983" t="s">
        <v>9</v>
      </c>
      <c r="E983">
        <v>57</v>
      </c>
      <c r="F983" t="s">
        <v>10</v>
      </c>
      <c r="G983">
        <v>3</v>
      </c>
      <c r="H983">
        <v>30</v>
      </c>
      <c r="I983">
        <v>90</v>
      </c>
    </row>
    <row r="984" spans="1:9" x14ac:dyDescent="0.25">
      <c r="A984">
        <v>983</v>
      </c>
      <c r="B984" s="1">
        <v>46017</v>
      </c>
      <c r="C984" t="s">
        <v>698</v>
      </c>
      <c r="D984" t="s">
        <v>12</v>
      </c>
      <c r="E984">
        <v>28</v>
      </c>
      <c r="F984" t="s">
        <v>13</v>
      </c>
      <c r="G984">
        <v>1</v>
      </c>
      <c r="H984">
        <v>300</v>
      </c>
      <c r="I984">
        <v>300</v>
      </c>
    </row>
    <row r="985" spans="1:9" x14ac:dyDescent="0.25">
      <c r="A985">
        <v>984</v>
      </c>
      <c r="B985" s="1">
        <v>46017</v>
      </c>
      <c r="C985" t="s">
        <v>699</v>
      </c>
      <c r="D985" t="s">
        <v>12</v>
      </c>
      <c r="E985">
        <v>53</v>
      </c>
      <c r="F985" t="s">
        <v>13</v>
      </c>
      <c r="G985">
        <v>1</v>
      </c>
      <c r="H985">
        <v>500</v>
      </c>
      <c r="I985">
        <v>500</v>
      </c>
    </row>
    <row r="986" spans="1:9" x14ac:dyDescent="0.25">
      <c r="A986">
        <v>985</v>
      </c>
      <c r="B986" s="1">
        <v>46017</v>
      </c>
      <c r="C986" t="s">
        <v>700</v>
      </c>
      <c r="D986" t="s">
        <v>9</v>
      </c>
      <c r="E986">
        <v>56</v>
      </c>
      <c r="F986" t="s">
        <v>15</v>
      </c>
      <c r="G986">
        <v>2</v>
      </c>
      <c r="H986">
        <v>25</v>
      </c>
      <c r="I986">
        <v>50</v>
      </c>
    </row>
    <row r="987" spans="1:9" x14ac:dyDescent="0.25">
      <c r="A987">
        <v>986</v>
      </c>
      <c r="B987" s="1">
        <v>46017</v>
      </c>
      <c r="C987" t="s">
        <v>701</v>
      </c>
      <c r="D987" t="s">
        <v>9</v>
      </c>
      <c r="E987">
        <v>57</v>
      </c>
      <c r="F987" t="s">
        <v>13</v>
      </c>
      <c r="G987">
        <v>2</v>
      </c>
      <c r="H987">
        <v>500</v>
      </c>
      <c r="I987">
        <v>1000</v>
      </c>
    </row>
    <row r="988" spans="1:9" x14ac:dyDescent="0.25">
      <c r="A988">
        <v>987</v>
      </c>
      <c r="B988" s="1">
        <v>46017</v>
      </c>
      <c r="C988" t="s">
        <v>702</v>
      </c>
      <c r="D988" t="s">
        <v>12</v>
      </c>
      <c r="E988">
        <v>52</v>
      </c>
      <c r="F988" t="s">
        <v>13</v>
      </c>
      <c r="G988">
        <v>3</v>
      </c>
      <c r="H988">
        <v>300</v>
      </c>
      <c r="I988">
        <v>900</v>
      </c>
    </row>
    <row r="989" spans="1:9" x14ac:dyDescent="0.25">
      <c r="A989">
        <v>988</v>
      </c>
      <c r="B989" s="1">
        <v>46017</v>
      </c>
      <c r="C989" t="s">
        <v>703</v>
      </c>
      <c r="D989" t="s">
        <v>12</v>
      </c>
      <c r="E989">
        <v>51</v>
      </c>
      <c r="F989" t="s">
        <v>13</v>
      </c>
      <c r="G989">
        <v>3</v>
      </c>
      <c r="H989">
        <v>25</v>
      </c>
      <c r="I989">
        <v>75</v>
      </c>
    </row>
    <row r="990" spans="1:9" x14ac:dyDescent="0.25">
      <c r="A990">
        <v>989</v>
      </c>
      <c r="B990" s="1">
        <v>46018</v>
      </c>
      <c r="C990" t="s">
        <v>704</v>
      </c>
      <c r="D990" t="s">
        <v>12</v>
      </c>
      <c r="E990">
        <v>64</v>
      </c>
      <c r="F990" t="s">
        <v>15</v>
      </c>
      <c r="G990">
        <v>1</v>
      </c>
      <c r="H990">
        <v>25</v>
      </c>
      <c r="I990">
        <v>25</v>
      </c>
    </row>
    <row r="991" spans="1:9" x14ac:dyDescent="0.25">
      <c r="A991">
        <v>990</v>
      </c>
      <c r="B991" s="1">
        <v>46018</v>
      </c>
      <c r="C991" t="s">
        <v>705</v>
      </c>
      <c r="D991" t="s">
        <v>9</v>
      </c>
      <c r="E991">
        <v>41</v>
      </c>
      <c r="F991" t="s">
        <v>10</v>
      </c>
      <c r="G991">
        <v>2</v>
      </c>
      <c r="H991">
        <v>500</v>
      </c>
      <c r="I991">
        <v>1000</v>
      </c>
    </row>
    <row r="992" spans="1:9" x14ac:dyDescent="0.25">
      <c r="A992">
        <v>991</v>
      </c>
      <c r="B992" s="1">
        <v>46019</v>
      </c>
      <c r="C992" t="s">
        <v>706</v>
      </c>
      <c r="D992" t="s">
        <v>12</v>
      </c>
      <c r="E992">
        <v>39</v>
      </c>
      <c r="F992" t="s">
        <v>13</v>
      </c>
      <c r="G992">
        <v>2</v>
      </c>
      <c r="H992">
        <v>50</v>
      </c>
      <c r="I992">
        <v>100</v>
      </c>
    </row>
    <row r="993" spans="1:9" x14ac:dyDescent="0.25">
      <c r="A993">
        <v>992</v>
      </c>
      <c r="B993" s="1">
        <v>46019</v>
      </c>
      <c r="C993" t="s">
        <v>707</v>
      </c>
      <c r="D993" t="s">
        <v>12</v>
      </c>
      <c r="E993">
        <v>22</v>
      </c>
      <c r="F993" t="s">
        <v>15</v>
      </c>
      <c r="G993">
        <v>2</v>
      </c>
      <c r="H993">
        <v>30</v>
      </c>
      <c r="I993">
        <v>60</v>
      </c>
    </row>
    <row r="994" spans="1:9" x14ac:dyDescent="0.25">
      <c r="A994">
        <v>993</v>
      </c>
      <c r="B994" s="1">
        <v>46019</v>
      </c>
      <c r="C994" t="s">
        <v>708</v>
      </c>
      <c r="D994" t="s">
        <v>12</v>
      </c>
      <c r="E994">
        <v>50</v>
      </c>
      <c r="F994" t="s">
        <v>15</v>
      </c>
      <c r="G994">
        <v>3</v>
      </c>
      <c r="H994">
        <v>50</v>
      </c>
      <c r="I994">
        <v>150</v>
      </c>
    </row>
    <row r="995" spans="1:9" x14ac:dyDescent="0.25">
      <c r="A995">
        <v>994</v>
      </c>
      <c r="B995" s="1">
        <v>46020</v>
      </c>
      <c r="C995" t="s">
        <v>709</v>
      </c>
      <c r="D995" t="s">
        <v>9</v>
      </c>
      <c r="E995">
        <v>53</v>
      </c>
      <c r="F995" t="s">
        <v>10</v>
      </c>
      <c r="G995">
        <v>2</v>
      </c>
      <c r="H995">
        <v>500</v>
      </c>
      <c r="I995">
        <v>1000</v>
      </c>
    </row>
    <row r="996" spans="1:9" x14ac:dyDescent="0.25">
      <c r="A996">
        <v>995</v>
      </c>
      <c r="B996" s="1">
        <v>46020</v>
      </c>
      <c r="C996" t="s">
        <v>710</v>
      </c>
      <c r="D996" t="s">
        <v>12</v>
      </c>
      <c r="E996">
        <v>64</v>
      </c>
      <c r="F996" t="s">
        <v>13</v>
      </c>
      <c r="G996">
        <v>4</v>
      </c>
      <c r="H996">
        <v>30</v>
      </c>
      <c r="I996">
        <v>120</v>
      </c>
    </row>
    <row r="997" spans="1:9" x14ac:dyDescent="0.25">
      <c r="A997">
        <v>996</v>
      </c>
      <c r="B997" s="1">
        <v>46020</v>
      </c>
      <c r="C997" t="s">
        <v>711</v>
      </c>
      <c r="D997" t="s">
        <v>12</v>
      </c>
      <c r="E997">
        <v>37</v>
      </c>
      <c r="F997" t="s">
        <v>13</v>
      </c>
      <c r="G997">
        <v>1</v>
      </c>
      <c r="H997">
        <v>50</v>
      </c>
      <c r="I997">
        <v>50</v>
      </c>
    </row>
    <row r="998" spans="1:9" x14ac:dyDescent="0.25">
      <c r="A998">
        <v>997</v>
      </c>
      <c r="B998" s="1">
        <v>46020</v>
      </c>
      <c r="C998" t="s">
        <v>712</v>
      </c>
      <c r="D998" t="s">
        <v>9</v>
      </c>
      <c r="E998">
        <v>36</v>
      </c>
      <c r="F998" t="s">
        <v>10</v>
      </c>
      <c r="G998">
        <v>3</v>
      </c>
      <c r="H998">
        <v>30</v>
      </c>
      <c r="I998">
        <v>90</v>
      </c>
    </row>
    <row r="999" spans="1:9" x14ac:dyDescent="0.25">
      <c r="A999">
        <v>998</v>
      </c>
      <c r="B999" s="1">
        <v>46022</v>
      </c>
      <c r="C999" t="s">
        <v>713</v>
      </c>
      <c r="D999" t="s">
        <v>12</v>
      </c>
      <c r="E999">
        <v>52</v>
      </c>
      <c r="F999" t="s">
        <v>10</v>
      </c>
      <c r="G999">
        <v>4</v>
      </c>
      <c r="H999">
        <v>25</v>
      </c>
      <c r="I999">
        <v>100</v>
      </c>
    </row>
    <row r="1000" spans="1:9" x14ac:dyDescent="0.25">
      <c r="A1000">
        <v>999</v>
      </c>
      <c r="B1000" s="1">
        <v>46022</v>
      </c>
      <c r="C1000" t="s">
        <v>714</v>
      </c>
      <c r="D1000" t="s">
        <v>12</v>
      </c>
      <c r="E1000">
        <v>60</v>
      </c>
      <c r="F1000" t="s">
        <v>15</v>
      </c>
      <c r="G1000">
        <v>3</v>
      </c>
      <c r="H1000">
        <v>50</v>
      </c>
      <c r="I1000">
        <v>150</v>
      </c>
    </row>
    <row r="1001" spans="1:9" x14ac:dyDescent="0.25">
      <c r="A1001">
        <v>1000</v>
      </c>
      <c r="B1001" s="1">
        <v>46022</v>
      </c>
      <c r="C1001" t="s">
        <v>715</v>
      </c>
      <c r="D1001" t="s">
        <v>9</v>
      </c>
      <c r="E1001">
        <v>34</v>
      </c>
      <c r="F1001" t="s">
        <v>15</v>
      </c>
      <c r="G1001">
        <v>4</v>
      </c>
      <c r="H1001">
        <v>30</v>
      </c>
      <c r="I1001">
        <v>120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Statistics_summary_table</vt:lpstr>
      <vt:lpstr>T-TEST</vt:lpstr>
      <vt:lpstr>Pivot_table &amp; Chart</vt:lpstr>
      <vt:lpstr>Clean_dataset</vt:lpstr>
      <vt:lpstr>retail_sales_dataset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2026-07-21T07:14:25Z</dcterms:created>
  <dcterms:modified xsi:type="dcterms:W3CDTF">2026-08-19T08:11:03Z</dcterms:modified>
</cp:coreProperties>
</file>